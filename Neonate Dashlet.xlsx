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NEO" sheetId="1" r:id="rId5"/>
    <sheet state="visible" name="Vlookup" sheetId="2" r:id="rId6"/>
    <sheet state="visible" name="Lubchenco Chart" sheetId="3" r:id="rId7"/>
    <sheet state="visible" name="Boy Fenton Chart" sheetId="4" r:id="rId8"/>
    <sheet state="visible" name="Female Fenton" sheetId="5" r:id="rId9"/>
  </sheets>
  <definedNames/>
  <calcPr/>
</workbook>
</file>

<file path=xl/sharedStrings.xml><?xml version="1.0" encoding="utf-8"?>
<sst xmlns="http://schemas.openxmlformats.org/spreadsheetml/2006/main" count="420" uniqueCount="261">
  <si>
    <t>Proposed Dashlet for HIS+ Neonate</t>
  </si>
  <si>
    <t xml:space="preserve">Score </t>
  </si>
  <si>
    <t>Weeks</t>
  </si>
  <si>
    <t>Score</t>
  </si>
  <si>
    <t>Maturity</t>
  </si>
  <si>
    <t>Exteremely Preterm</t>
  </si>
  <si>
    <t>Very Pretem</t>
  </si>
  <si>
    <t>Inborn</t>
  </si>
  <si>
    <t>Moderate Preterm</t>
  </si>
  <si>
    <t>Outborn</t>
  </si>
  <si>
    <t>Late Preterm</t>
  </si>
  <si>
    <t>Check</t>
  </si>
  <si>
    <t>Early Term</t>
  </si>
  <si>
    <t>Readmission</t>
  </si>
  <si>
    <t>Full Term</t>
  </si>
  <si>
    <t>Late Term</t>
  </si>
  <si>
    <t>Post Term</t>
  </si>
  <si>
    <t>(Up to 28 days)</t>
  </si>
  <si>
    <t>Name of Patient</t>
  </si>
  <si>
    <t>Free text (Surname, Given Name)</t>
  </si>
  <si>
    <t>Hospital Number</t>
  </si>
  <si>
    <t>Free text</t>
  </si>
  <si>
    <t>Address</t>
  </si>
  <si>
    <t>Birth Location</t>
  </si>
  <si>
    <t>Maternal Data</t>
  </si>
  <si>
    <t xml:space="preserve">Mother's Name: </t>
  </si>
  <si>
    <t>Mother's Age</t>
  </si>
  <si>
    <t>Mother's Blood Type</t>
  </si>
  <si>
    <t>Status</t>
  </si>
  <si>
    <t>EDC</t>
  </si>
  <si>
    <t>LMP</t>
  </si>
  <si>
    <t>MM/DD/YY</t>
  </si>
  <si>
    <t>Gravida</t>
  </si>
  <si>
    <t>Number</t>
  </si>
  <si>
    <t>Para</t>
  </si>
  <si>
    <t>AOG weeks</t>
  </si>
  <si>
    <t>Complications of Pregnancy</t>
  </si>
  <si>
    <t>1st Stage</t>
  </si>
  <si>
    <t>2nd Stage</t>
  </si>
  <si>
    <t>BOW</t>
  </si>
  <si>
    <t>Presentation</t>
  </si>
  <si>
    <t>Position</t>
  </si>
  <si>
    <t>Ruptured Time:</t>
  </si>
  <si>
    <t>Classification</t>
  </si>
  <si>
    <t>Type of Delivery</t>
  </si>
  <si>
    <t>Time of Delivery</t>
  </si>
  <si>
    <t>CS Indication</t>
  </si>
  <si>
    <t>Antenatal Steriod Doses Given</t>
  </si>
  <si>
    <t>Date Given</t>
  </si>
  <si>
    <t>Maternal Risk Factors</t>
  </si>
  <si>
    <t>Check Applicable Factors</t>
  </si>
  <si>
    <t>Age of Conception</t>
  </si>
  <si>
    <t>Gestational Diabetes</t>
  </si>
  <si>
    <t>Alcohol intake</t>
  </si>
  <si>
    <t>Obesity</t>
  </si>
  <si>
    <t>Polyhy dramnios</t>
  </si>
  <si>
    <t>Illicit Drug Use</t>
  </si>
  <si>
    <t>Diabetis Mellitus</t>
  </si>
  <si>
    <t>Febrile illness</t>
  </si>
  <si>
    <t>Fertility Drug Intake</t>
  </si>
  <si>
    <t>Urinary Tract Infection</t>
  </si>
  <si>
    <t>Psychoactive agents</t>
  </si>
  <si>
    <t>Bronchodilators</t>
  </si>
  <si>
    <t>Rubella</t>
  </si>
  <si>
    <t>Antibiotics</t>
  </si>
  <si>
    <t>NSAIDS</t>
  </si>
  <si>
    <t>Vaccination</t>
  </si>
  <si>
    <t>Smoking</t>
  </si>
  <si>
    <t>Others</t>
  </si>
  <si>
    <t>APGAR SCORE</t>
  </si>
  <si>
    <t>SIGN</t>
  </si>
  <si>
    <t>1 min</t>
  </si>
  <si>
    <t>5 min</t>
  </si>
  <si>
    <t>10 min</t>
  </si>
  <si>
    <t>Heart Rate</t>
  </si>
  <si>
    <t>Absent</t>
  </si>
  <si>
    <t>&lt;100 beats/min</t>
  </si>
  <si>
    <t>&gt; 100 beats/min</t>
  </si>
  <si>
    <t>Respiratpry Rate</t>
  </si>
  <si>
    <t>Slow, Irregular</t>
  </si>
  <si>
    <t>Good Cry</t>
  </si>
  <si>
    <t>Muscle Tone</t>
  </si>
  <si>
    <t>Limp</t>
  </si>
  <si>
    <t>Some Flexion</t>
  </si>
  <si>
    <t>Active Motion</t>
  </si>
  <si>
    <t>Reflex Irritability</t>
  </si>
  <si>
    <t>No Response</t>
  </si>
  <si>
    <t>Grimace</t>
  </si>
  <si>
    <t>Vigorous Cry</t>
  </si>
  <si>
    <t>Skin Color</t>
  </si>
  <si>
    <t>Pale</t>
  </si>
  <si>
    <t>Body Pinks, Extremities Blue</t>
  </si>
  <si>
    <t>Pink</t>
  </si>
  <si>
    <t>Total Score</t>
  </si>
  <si>
    <t xml:space="preserve">if exceeding more than 10 min: </t>
  </si>
  <si>
    <t>Condition of the cord</t>
  </si>
  <si>
    <t>Baby's Blood Type</t>
  </si>
  <si>
    <t>Weight</t>
  </si>
  <si>
    <t>kg</t>
  </si>
  <si>
    <t>Head Circumference</t>
  </si>
  <si>
    <t>cm</t>
  </si>
  <si>
    <t>Length</t>
  </si>
  <si>
    <t>Chest Circumference</t>
  </si>
  <si>
    <t>Temperature</t>
  </si>
  <si>
    <t>C</t>
  </si>
  <si>
    <t>Abdominal Circumference</t>
  </si>
  <si>
    <t>Cardiac Rate</t>
  </si>
  <si>
    <t>beats/min</t>
  </si>
  <si>
    <t>Respiratory Rate</t>
  </si>
  <si>
    <t>cycles/min</t>
  </si>
  <si>
    <t>ESSENTIAL INTRAPARTUM NEWBORN CARE (EINC)</t>
  </si>
  <si>
    <t>Complete</t>
  </si>
  <si>
    <t>Time Started</t>
  </si>
  <si>
    <t>Incomplete</t>
  </si>
  <si>
    <t>Time Ended</t>
  </si>
  <si>
    <t>Performed</t>
  </si>
  <si>
    <t>Reason for incomplete EINC</t>
  </si>
  <si>
    <t>Thourough Drying</t>
  </si>
  <si>
    <t>Skin to skin</t>
  </si>
  <si>
    <t>Properly timed cord clamping</t>
  </si>
  <si>
    <t>Non seperation of newborn and mother for breastfeeding</t>
  </si>
  <si>
    <t>Printed name of OR/DR/MIDWIFE/NURSE</t>
  </si>
  <si>
    <t>Ballards Score</t>
  </si>
  <si>
    <t>Neuro Muscular Maturity</t>
  </si>
  <si>
    <t>Posture</t>
  </si>
  <si>
    <t>Square Window</t>
  </si>
  <si>
    <t>Arm Recoil</t>
  </si>
  <si>
    <t>Popliteal Angle</t>
  </si>
  <si>
    <t>Scarf Sign</t>
  </si>
  <si>
    <t>Heal to Ear</t>
  </si>
  <si>
    <t>Total</t>
  </si>
  <si>
    <t>Physical Maturity</t>
  </si>
  <si>
    <t>Skin</t>
  </si>
  <si>
    <t>Sticky, friable, transparent</t>
  </si>
  <si>
    <t>Gelatinous, red, translucent</t>
  </si>
  <si>
    <t>Smooth pink, visible veins</t>
  </si>
  <si>
    <t>Superficial peeling/rash, few veins</t>
  </si>
  <si>
    <t>Cracking, pale areas, rare veins</t>
  </si>
  <si>
    <t>Parchment, deep cracking, no vessels</t>
  </si>
  <si>
    <t>Leathery, cracked, wrinkled</t>
  </si>
  <si>
    <t>Lanugo</t>
  </si>
  <si>
    <t>None</t>
  </si>
  <si>
    <t>Sparse</t>
  </si>
  <si>
    <t>Abundant</t>
  </si>
  <si>
    <t>Thinning</t>
  </si>
  <si>
    <t>Bald areas</t>
  </si>
  <si>
    <t>Mostly bald</t>
  </si>
  <si>
    <t>Plantar Surface</t>
  </si>
  <si>
    <t>Heel-toe 40–50mm: -1 (&lt;40mm: -2*)</t>
  </si>
  <si>
    <t>&gt;50mm, no crease</t>
  </si>
  <si>
    <t>Faint red marks</t>
  </si>
  <si>
    <t>Anterior transverse crease only</t>
  </si>
  <si>
    <t>Creases anterior 2/3</t>
  </si>
  <si>
    <t>Creases over entire sole</t>
  </si>
  <si>
    <t>Breast</t>
  </si>
  <si>
    <t>Imperceptible</t>
  </si>
  <si>
    <t>Barely perceptible</t>
  </si>
  <si>
    <t>Flat areola, no bud</t>
  </si>
  <si>
    <t>Stippled areola, 1–2mm bud</t>
  </si>
  <si>
    <t>Raised areola, 3–4mm bud</t>
  </si>
  <si>
    <t>Full areola, 5–10mm bud</t>
  </si>
  <si>
    <t>Eye / ear</t>
  </si>
  <si>
    <t>Lids fused (loosely: -1; tightly: -2*)</t>
  </si>
  <si>
    <t>Lids open; pinna flat; stays folded</t>
  </si>
  <si>
    <t>Slightly curved pinna; soft; slow recoil</t>
  </si>
  <si>
    <t>Well-curved pinna; soft but ready recoil</t>
  </si>
  <si>
    <t>Formed &amp; firm; instant recoil</t>
  </si>
  <si>
    <t>Thick cartilage; ear stiff</t>
  </si>
  <si>
    <t>Genitals (male)</t>
  </si>
  <si>
    <t>Scrotum flat, smooth</t>
  </si>
  <si>
    <t>Scrotum empty, faint rugae</t>
  </si>
  <si>
    <t>Testes in upper canal, rare rugae</t>
  </si>
  <si>
    <t>Testes descending, few rugae</t>
  </si>
  <si>
    <t>Testes down, good rugae</t>
  </si>
  <si>
    <t>Testes pendulous, deep rugae</t>
  </si>
  <si>
    <t>Genitals (female)</t>
  </si>
  <si>
    <t>Clitoris prominent &amp; labia flat</t>
  </si>
  <si>
    <t>Prominent clitoris &amp; small labia minora</t>
  </si>
  <si>
    <t>Prominent clitoris &amp; enlarging minora</t>
  </si>
  <si>
    <t>Majora &amp; minora equally prominent</t>
  </si>
  <si>
    <t>Majora large, minora small</t>
  </si>
  <si>
    <t>Majora cover clitoris &amp; minora</t>
  </si>
  <si>
    <t>Ballard Score</t>
  </si>
  <si>
    <t>Lubchenco Chart PDF</t>
  </si>
  <si>
    <t>Boy Fenton Chart PDF</t>
  </si>
  <si>
    <t>Girl Fenton Chart PDF</t>
  </si>
  <si>
    <t>Physical Examination</t>
  </si>
  <si>
    <t>General Survey</t>
  </si>
  <si>
    <t>Abdomen</t>
  </si>
  <si>
    <t>Color</t>
  </si>
  <si>
    <t>Genitalia</t>
  </si>
  <si>
    <t>HEAD</t>
  </si>
  <si>
    <t>Anus</t>
  </si>
  <si>
    <t>EENT</t>
  </si>
  <si>
    <t>Neck</t>
  </si>
  <si>
    <t>Extremities</t>
  </si>
  <si>
    <t>Heart</t>
  </si>
  <si>
    <t>Other Findings</t>
  </si>
  <si>
    <t>Chest and lungs</t>
  </si>
  <si>
    <t>Sex</t>
  </si>
  <si>
    <t>Reason for admission to NICU</t>
  </si>
  <si>
    <t>Newborn Aftercare</t>
  </si>
  <si>
    <t>Date Administered</t>
  </si>
  <si>
    <t>Remarks</t>
  </si>
  <si>
    <t>Vitamin K Administration</t>
  </si>
  <si>
    <t xml:space="preserve">BCG Immunization </t>
  </si>
  <si>
    <t>Eye Prophylaxis</t>
  </si>
  <si>
    <t>Hepatitis B Immunization</t>
  </si>
  <si>
    <t>Hep B Immune globulin</t>
  </si>
  <si>
    <t>Printed name of DR/RN</t>
  </si>
  <si>
    <t>Screening</t>
  </si>
  <si>
    <t>Red Orange Reflex</t>
  </si>
  <si>
    <t>Date Done</t>
  </si>
  <si>
    <t>Findings</t>
  </si>
  <si>
    <t>If abnormal</t>
  </si>
  <si>
    <t>Date Referred</t>
  </si>
  <si>
    <t>Retinopathy of Prematurity</t>
  </si>
  <si>
    <t>Applicable</t>
  </si>
  <si>
    <t>Initial</t>
  </si>
  <si>
    <t>2nd</t>
  </si>
  <si>
    <t>3rd</t>
  </si>
  <si>
    <t>OPD ROP Schedule:</t>
  </si>
  <si>
    <t>Newborn Metabolic Screening</t>
  </si>
  <si>
    <t>Reason for Repeat ENBS</t>
  </si>
  <si>
    <t>Repeat ENBS Schedule</t>
  </si>
  <si>
    <t>Sticker #</t>
  </si>
  <si>
    <t xml:space="preserve">Newborn Hearing Screening </t>
  </si>
  <si>
    <t>If Failed</t>
  </si>
  <si>
    <t>Repeat Date:</t>
  </si>
  <si>
    <t>If Done outside</t>
  </si>
  <si>
    <t>Cranial UTZ</t>
  </si>
  <si>
    <t>Critical Congenital Heart Disease Screening</t>
  </si>
  <si>
    <t>If Retest Done</t>
  </si>
  <si>
    <t>Pulse Oximetry Reading</t>
  </si>
  <si>
    <t>Puls Oximetry Reading</t>
  </si>
  <si>
    <t>Right Hand</t>
  </si>
  <si>
    <t>%</t>
  </si>
  <si>
    <t xml:space="preserve">Foot </t>
  </si>
  <si>
    <t>Difference</t>
  </si>
  <si>
    <t>Reasons for Screening Not Done</t>
  </si>
  <si>
    <t>Printed name of Screener</t>
  </si>
  <si>
    <t>Diagnosis</t>
  </si>
  <si>
    <t>Hyperbilirubinemia</t>
  </si>
  <si>
    <t>Other Causes</t>
  </si>
  <si>
    <t>Bilirubin Level (mg/dl)</t>
  </si>
  <si>
    <t>Respiratory</t>
  </si>
  <si>
    <t>Respiratory support</t>
  </si>
  <si>
    <t>Sepsis</t>
  </si>
  <si>
    <t>Culture Result</t>
  </si>
  <si>
    <t>Asphyxia</t>
  </si>
  <si>
    <t>Congenital Disease</t>
  </si>
  <si>
    <t>Kangaroo Mother Care</t>
  </si>
  <si>
    <t>Enrollement Date</t>
  </si>
  <si>
    <t xml:space="preserve">KMC at time of Discharge </t>
  </si>
  <si>
    <t>Status on Discharge</t>
  </si>
  <si>
    <t>Mode of feeding</t>
  </si>
  <si>
    <t>Type of Feeding on Discharge</t>
  </si>
  <si>
    <t>Use of Donor Human Milk</t>
  </si>
  <si>
    <t>Surfactant</t>
  </si>
  <si>
    <t>Medical Futility Data</t>
  </si>
  <si>
    <t>Weight on Discharge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</si>
</sst>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1.0"/>
      <color theme="1"/>
      <name val="&quot;Google Sans&quot;"/>
    </font>
    <font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rgb="FFFF0000"/>
      <name val="Arial"/>
      <scheme val="minor"/>
    </font>
    <font/>
    <font>
      <sz val="10.0"/>
      <color rgb="FF0B1220"/>
      <name val="Arial"/>
      <scheme val="minor"/>
    </font>
    <font>
      <b/>
      <sz val="10.0"/>
      <color rgb="FF0B1220"/>
      <name val="Arial"/>
      <scheme val="minor"/>
    </font>
    <font>
      <u/>
      <sz val="10.0"/>
      <color rgb="FF0000FF"/>
    </font>
    <font>
      <b/>
      <sz val="10.0"/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AFBFE"/>
        <bgColor rgb="FFFAFBFE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1" fillId="0" fontId="5" numFmtId="0" xfId="0" applyAlignment="1" applyBorder="1" applyFont="1">
      <alignment readingOrder="0"/>
    </xf>
    <xf borderId="0" fillId="0" fontId="0" numFmtId="0" xfId="0" applyAlignment="1" applyFont="1">
      <alignment readingOrder="0"/>
    </xf>
    <xf borderId="0" fillId="0" fontId="5" numFmtId="0" xfId="0" applyAlignment="1" applyFont="1">
      <alignment readingOrder="0"/>
    </xf>
    <xf borderId="2" fillId="0" fontId="5" numFmtId="0" xfId="0" applyAlignment="1" applyBorder="1" applyFont="1">
      <alignment readingOrder="0"/>
    </xf>
    <xf borderId="2" fillId="0" fontId="6" numFmtId="0" xfId="0" applyBorder="1" applyFont="1"/>
    <xf borderId="2" fillId="0" fontId="0" numFmtId="0" xfId="0" applyAlignment="1" applyBorder="1" applyFont="1">
      <alignment readingOrder="0"/>
    </xf>
    <xf borderId="3" fillId="0" fontId="3" numFmtId="0" xfId="0" applyAlignment="1" applyBorder="1" applyFont="1">
      <alignment horizontal="center" readingOrder="0"/>
    </xf>
    <xf borderId="4" fillId="0" fontId="6" numFmtId="0" xfId="0" applyBorder="1" applyFont="1"/>
    <xf borderId="5" fillId="0" fontId="6" numFmtId="0" xfId="0" applyBorder="1" applyFont="1"/>
    <xf borderId="2" fillId="0" fontId="4" numFmtId="0" xfId="0" applyBorder="1" applyFont="1"/>
    <xf borderId="0" fillId="0" fontId="4" numFmtId="0" xfId="0" applyAlignment="1" applyFont="1">
      <alignment readingOrder="0" shrinkToFit="0" wrapText="1"/>
    </xf>
    <xf borderId="2" fillId="0" fontId="5" numFmtId="20" xfId="0" applyAlignment="1" applyBorder="1" applyFont="1" applyNumberFormat="1">
      <alignment readingOrder="0"/>
    </xf>
    <xf borderId="0" fillId="0" fontId="4" numFmtId="0" xfId="0" applyAlignment="1" applyFont="1">
      <alignment readingOrder="0" shrinkToFit="0" wrapText="0"/>
    </xf>
    <xf borderId="1" fillId="0" fontId="4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 readingOrder="0"/>
    </xf>
    <xf borderId="3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wrapText="1"/>
    </xf>
    <xf borderId="3" fillId="0" fontId="4" numFmtId="0" xfId="0" applyAlignment="1" applyBorder="1" applyFont="1">
      <alignment readingOrder="0" shrinkToFit="0" wrapText="1"/>
    </xf>
    <xf borderId="3" fillId="0" fontId="4" numFmtId="0" xfId="0" applyBorder="1" applyFont="1"/>
    <xf borderId="3" fillId="0" fontId="3" numFmtId="0" xfId="0" applyAlignment="1" applyBorder="1" applyFont="1">
      <alignment readingOrder="0"/>
    </xf>
    <xf borderId="1" fillId="0" fontId="4" numFmtId="0" xfId="0" applyAlignment="1" applyBorder="1" applyFont="1">
      <alignment horizontal="center"/>
    </xf>
    <xf borderId="2" fillId="0" fontId="5" numFmtId="0" xfId="0" applyBorder="1" applyFont="1"/>
    <xf borderId="0" fillId="0" fontId="5" numFmtId="0" xfId="0" applyFont="1"/>
    <xf borderId="2" fillId="0" fontId="5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1" fillId="0" fontId="4" numFmtId="0" xfId="0" applyBorder="1" applyFont="1"/>
    <xf borderId="0" fillId="3" fontId="7" numFmtId="0" xfId="0" applyAlignment="1" applyFill="1" applyFont="1">
      <alignment horizontal="center" readingOrder="0" shrinkToFit="0" wrapText="1"/>
    </xf>
    <xf borderId="0" fillId="4" fontId="8" numFmtId="0" xfId="0" applyAlignment="1" applyFill="1" applyFont="1">
      <alignment horizontal="left" readingOrder="0" shrinkToFit="0" wrapText="1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1"/>
    </xf>
    <xf borderId="3" fillId="0" fontId="9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wrapText="1"/>
    </xf>
    <xf borderId="6" fillId="0" fontId="3" numFmtId="0" xfId="0" applyAlignment="1" applyBorder="1" applyFont="1">
      <alignment readingOrder="0" shrinkToFit="0" wrapText="0"/>
    </xf>
    <xf borderId="7" fillId="0" fontId="4" numFmtId="0" xfId="0" applyAlignment="1" applyBorder="1" applyFont="1">
      <alignment shrinkToFit="0" wrapText="0"/>
    </xf>
    <xf borderId="7" fillId="0" fontId="4" numFmtId="0" xfId="0" applyAlignment="1" applyBorder="1" applyFont="1">
      <alignment horizontal="center" readingOrder="0" shrinkToFit="0" wrapText="1"/>
    </xf>
    <xf borderId="7" fillId="0" fontId="4" numFmtId="0" xfId="0" applyAlignment="1" applyBorder="1" applyFont="1">
      <alignment horizontal="center" readingOrder="0"/>
    </xf>
    <xf borderId="7" fillId="0" fontId="4" numFmtId="0" xfId="0" applyBorder="1" applyFont="1"/>
    <xf borderId="7" fillId="0" fontId="4" numFmtId="0" xfId="0" applyAlignment="1" applyBorder="1" applyFont="1">
      <alignment readingOrder="0"/>
    </xf>
    <xf borderId="8" fillId="0" fontId="4" numFmtId="0" xfId="0" applyBorder="1" applyFont="1"/>
    <xf borderId="9" fillId="0" fontId="3" numFmtId="0" xfId="0" applyAlignment="1" applyBorder="1" applyFont="1">
      <alignment readingOrder="0" shrinkToFit="0" wrapText="1"/>
    </xf>
    <xf borderId="10" fillId="0" fontId="4" numFmtId="0" xfId="0" applyBorder="1" applyFont="1"/>
    <xf borderId="11" fillId="0" fontId="4" numFmtId="0" xfId="0" applyBorder="1" applyFont="1"/>
    <xf borderId="2" fillId="0" fontId="4" numFmtId="0" xfId="0" applyAlignment="1" applyBorder="1" applyFont="1">
      <alignment readingOrder="0"/>
    </xf>
    <xf borderId="12" fillId="0" fontId="4" numFmtId="0" xfId="0" applyBorder="1" applyFont="1"/>
    <xf borderId="7" fillId="0" fontId="2" numFmtId="0" xfId="0" applyAlignment="1" applyBorder="1" applyFont="1">
      <alignment readingOrder="0"/>
    </xf>
    <xf borderId="10" fillId="0" fontId="2" numFmtId="0" xfId="0" applyBorder="1" applyFont="1"/>
    <xf borderId="11" fillId="0" fontId="3" numFmtId="0" xfId="0" applyAlignment="1" applyBorder="1" applyFont="1">
      <alignment readingOrder="0" shrinkToFit="0" wrapText="1"/>
    </xf>
    <xf borderId="12" fillId="0" fontId="5" numFmtId="0" xfId="0" applyAlignment="1" applyBorder="1" applyFont="1">
      <alignment horizontal="center" readingOrder="0"/>
    </xf>
    <xf borderId="0" fillId="0" fontId="3" numFmtId="0" xfId="0" applyAlignment="1" applyFont="1">
      <alignment readingOrder="0" shrinkToFit="0" wrapText="1"/>
    </xf>
    <xf borderId="0" fillId="0" fontId="5" numFmtId="0" xfId="0" applyAlignment="1" applyFont="1">
      <alignment horizontal="center" readingOrder="0"/>
    </xf>
    <xf borderId="9" fillId="0" fontId="3" numFmtId="0" xfId="0" applyAlignment="1" applyBorder="1" applyFont="1">
      <alignment readingOrder="0" shrinkToFit="0" wrapText="0"/>
    </xf>
    <xf borderId="12" fillId="0" fontId="5" numFmtId="0" xfId="0" applyAlignment="1" applyBorder="1" applyFont="1">
      <alignment readingOrder="0"/>
    </xf>
    <xf borderId="11" fillId="0" fontId="2" numFmtId="0" xfId="0" applyBorder="1" applyFont="1"/>
    <xf borderId="2" fillId="0" fontId="2" numFmtId="0" xfId="0" applyAlignment="1" applyBorder="1" applyFont="1">
      <alignment readingOrder="0"/>
    </xf>
    <xf borderId="6" fillId="0" fontId="3" numFmtId="0" xfId="0" applyAlignment="1" applyBorder="1" applyFont="1">
      <alignment readingOrder="0" shrinkToFit="0" wrapText="1"/>
    </xf>
    <xf borderId="7" fillId="0" fontId="2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2" fillId="0" fontId="4" numFmtId="0" xfId="0" applyAlignment="1" applyBorder="1" applyFont="1">
      <alignment horizontal="center" readingOrder="0"/>
    </xf>
    <xf borderId="2" fillId="0" fontId="2" numFmtId="0" xfId="0" applyBorder="1" applyFont="1"/>
    <xf borderId="7" fillId="0" fontId="6" numFmtId="0" xfId="0" applyBorder="1" applyFont="1"/>
    <xf borderId="9" fillId="0" fontId="6" numFmtId="0" xfId="0" applyBorder="1" applyFont="1"/>
    <xf borderId="9" fillId="0" fontId="4" numFmtId="0" xfId="0" applyAlignment="1" applyBorder="1" applyFont="1">
      <alignment readingOrder="0"/>
    </xf>
    <xf borderId="9" fillId="0" fontId="4" numFmtId="0" xfId="0" applyBorder="1" applyFont="1"/>
    <xf borderId="2" fillId="0" fontId="5" numFmtId="0" xfId="0" applyAlignment="1" applyBorder="1" applyFont="1">
      <alignment horizontal="left" readingOrder="0"/>
    </xf>
    <xf borderId="12" fillId="0" fontId="6" numFmtId="0" xfId="0" applyBorder="1" applyFont="1"/>
    <xf borderId="0" fillId="0" fontId="3" numFmtId="0" xfId="0" applyAlignment="1" applyFont="1">
      <alignment readingOrder="0"/>
    </xf>
    <xf borderId="0" fillId="0" fontId="10" numFmtId="0" xfId="0" applyAlignment="1" applyFont="1">
      <alignment readingOrder="0"/>
    </xf>
    <xf borderId="3" fillId="0" fontId="2" numFmtId="0" xfId="0" applyAlignment="1" applyBorder="1" applyFont="1">
      <alignment readingOrder="0" vertical="center"/>
    </xf>
    <xf borderId="5" fillId="0" fontId="2" numFmtId="0" xfId="0" applyAlignment="1" applyBorder="1" applyFont="1">
      <alignment vertical="center"/>
    </xf>
    <xf borderId="3" fillId="0" fontId="4" numFmtId="0" xfId="0" applyAlignment="1" applyBorder="1" applyFont="1">
      <alignment horizontal="left" readingOrder="0" shrinkToFit="0" wrapText="1"/>
    </xf>
    <xf borderId="5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3" fillId="0" fontId="4" numFmtId="0" xfId="0" applyAlignment="1" applyBorder="1" applyFont="1">
      <alignment horizontal="left" readingOrder="0" shrinkToFit="0" vertical="center" wrapText="1"/>
    </xf>
    <xf borderId="3" fillId="0" fontId="4" numFmtId="0" xfId="0" applyAlignment="1" applyBorder="1" applyFont="1">
      <alignment readingOrder="0" vertical="center"/>
    </xf>
    <xf borderId="5" fillId="0" fontId="4" numFmtId="0" xfId="0" applyAlignment="1" applyBorder="1" applyFont="1">
      <alignment vertical="center"/>
    </xf>
    <xf borderId="3" fillId="0" fontId="2" numFmtId="0" xfId="0" applyAlignment="1" applyBorder="1" applyFont="1">
      <alignment readingOrder="0" shrinkToFit="0" wrapText="1"/>
    </xf>
    <xf borderId="5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18.png"/><Relationship Id="rId22" Type="http://schemas.openxmlformats.org/officeDocument/2006/relationships/image" Target="../media/image22.png"/><Relationship Id="rId21" Type="http://schemas.openxmlformats.org/officeDocument/2006/relationships/image" Target="../media/image33.png"/><Relationship Id="rId24" Type="http://schemas.openxmlformats.org/officeDocument/2006/relationships/image" Target="../media/image29.png"/><Relationship Id="rId23" Type="http://schemas.openxmlformats.org/officeDocument/2006/relationships/image" Target="../media/image17.png"/><Relationship Id="rId1" Type="http://schemas.openxmlformats.org/officeDocument/2006/relationships/image" Target="../media/image6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1.png"/><Relationship Id="rId9" Type="http://schemas.openxmlformats.org/officeDocument/2006/relationships/image" Target="../media/image20.png"/><Relationship Id="rId26" Type="http://schemas.openxmlformats.org/officeDocument/2006/relationships/image" Target="../media/image23.png"/><Relationship Id="rId25" Type="http://schemas.openxmlformats.org/officeDocument/2006/relationships/image" Target="../media/image19.png"/><Relationship Id="rId28" Type="http://schemas.openxmlformats.org/officeDocument/2006/relationships/image" Target="../media/image26.png"/><Relationship Id="rId27" Type="http://schemas.openxmlformats.org/officeDocument/2006/relationships/image" Target="../media/image30.png"/><Relationship Id="rId5" Type="http://schemas.openxmlformats.org/officeDocument/2006/relationships/image" Target="../media/image10.png"/><Relationship Id="rId6" Type="http://schemas.openxmlformats.org/officeDocument/2006/relationships/image" Target="../media/image12.png"/><Relationship Id="rId29" Type="http://schemas.openxmlformats.org/officeDocument/2006/relationships/image" Target="../media/image31.png"/><Relationship Id="rId7" Type="http://schemas.openxmlformats.org/officeDocument/2006/relationships/image" Target="../media/image5.png"/><Relationship Id="rId8" Type="http://schemas.openxmlformats.org/officeDocument/2006/relationships/image" Target="../media/image8.png"/><Relationship Id="rId31" Type="http://schemas.openxmlformats.org/officeDocument/2006/relationships/image" Target="../media/image27.png"/><Relationship Id="rId30" Type="http://schemas.openxmlformats.org/officeDocument/2006/relationships/image" Target="../media/image28.png"/><Relationship Id="rId11" Type="http://schemas.openxmlformats.org/officeDocument/2006/relationships/image" Target="../media/image9.png"/><Relationship Id="rId33" Type="http://schemas.openxmlformats.org/officeDocument/2006/relationships/image" Target="../media/image34.png"/><Relationship Id="rId10" Type="http://schemas.openxmlformats.org/officeDocument/2006/relationships/image" Target="../media/image16.png"/><Relationship Id="rId32" Type="http://schemas.openxmlformats.org/officeDocument/2006/relationships/image" Target="../media/image25.png"/><Relationship Id="rId13" Type="http://schemas.openxmlformats.org/officeDocument/2006/relationships/image" Target="../media/image4.png"/><Relationship Id="rId35" Type="http://schemas.openxmlformats.org/officeDocument/2006/relationships/image" Target="../media/image35.png"/><Relationship Id="rId12" Type="http://schemas.openxmlformats.org/officeDocument/2006/relationships/image" Target="../media/image11.png"/><Relationship Id="rId34" Type="http://schemas.openxmlformats.org/officeDocument/2006/relationships/image" Target="../media/image36.png"/><Relationship Id="rId15" Type="http://schemas.openxmlformats.org/officeDocument/2006/relationships/image" Target="../media/image15.png"/><Relationship Id="rId14" Type="http://schemas.openxmlformats.org/officeDocument/2006/relationships/image" Target="../media/image13.png"/><Relationship Id="rId17" Type="http://schemas.openxmlformats.org/officeDocument/2006/relationships/image" Target="../media/image32.png"/><Relationship Id="rId16" Type="http://schemas.openxmlformats.org/officeDocument/2006/relationships/image" Target="../media/image14.png"/><Relationship Id="rId19" Type="http://schemas.openxmlformats.org/officeDocument/2006/relationships/image" Target="../media/image21.png"/><Relationship Id="rId18" Type="http://schemas.openxmlformats.org/officeDocument/2006/relationships/image" Target="../media/image2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70</xdr:row>
      <xdr:rowOff>0</xdr:rowOff>
    </xdr:from>
    <xdr:ext cx="962025" cy="552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70</xdr:row>
      <xdr:rowOff>0</xdr:rowOff>
    </xdr:from>
    <xdr:ext cx="923925" cy="5238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70</xdr:row>
      <xdr:rowOff>0</xdr:rowOff>
    </xdr:from>
    <xdr:ext cx="962025" cy="5524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70</xdr:row>
      <xdr:rowOff>0</xdr:rowOff>
    </xdr:from>
    <xdr:ext cx="962025" cy="5715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70</xdr:row>
      <xdr:rowOff>0</xdr:rowOff>
    </xdr:from>
    <xdr:ext cx="962025" cy="60960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71</xdr:row>
      <xdr:rowOff>0</xdr:rowOff>
    </xdr:from>
    <xdr:ext cx="962025" cy="561975"/>
    <xdr:pic>
      <xdr:nvPicPr>
        <xdr:cNvPr id="0" name="image1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</xdr:row>
      <xdr:rowOff>0</xdr:rowOff>
    </xdr:from>
    <xdr:ext cx="962025" cy="59055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71</xdr:row>
      <xdr:rowOff>0</xdr:rowOff>
    </xdr:from>
    <xdr:ext cx="923925" cy="5715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71</xdr:row>
      <xdr:rowOff>0</xdr:rowOff>
    </xdr:from>
    <xdr:ext cx="962025" cy="571500"/>
    <xdr:pic>
      <xdr:nvPicPr>
        <xdr:cNvPr id="0" name="image2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71</xdr:row>
      <xdr:rowOff>0</xdr:rowOff>
    </xdr:from>
    <xdr:ext cx="962025" cy="561975"/>
    <xdr:pic>
      <xdr:nvPicPr>
        <xdr:cNvPr id="0" name="image1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71</xdr:row>
      <xdr:rowOff>0</xdr:rowOff>
    </xdr:from>
    <xdr:ext cx="962025" cy="590550"/>
    <xdr:pic>
      <xdr:nvPicPr>
        <xdr:cNvPr id="0" name="image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72</xdr:row>
      <xdr:rowOff>0</xdr:rowOff>
    </xdr:from>
    <xdr:ext cx="962025" cy="542925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72</xdr:row>
      <xdr:rowOff>0</xdr:rowOff>
    </xdr:from>
    <xdr:ext cx="923925" cy="552450"/>
    <xdr:pic>
      <xdr:nvPicPr>
        <xdr:cNvPr id="0" name="image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72</xdr:row>
      <xdr:rowOff>0</xdr:rowOff>
    </xdr:from>
    <xdr:ext cx="962025" cy="542925"/>
    <xdr:pic>
      <xdr:nvPicPr>
        <xdr:cNvPr id="0" name="image1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72</xdr:row>
      <xdr:rowOff>0</xdr:rowOff>
    </xdr:from>
    <xdr:ext cx="962025" cy="542925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72</xdr:row>
      <xdr:rowOff>0</xdr:rowOff>
    </xdr:from>
    <xdr:ext cx="962025" cy="542925"/>
    <xdr:pic>
      <xdr:nvPicPr>
        <xdr:cNvPr id="0" name="image14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73</xdr:row>
      <xdr:rowOff>0</xdr:rowOff>
    </xdr:from>
    <xdr:ext cx="952500" cy="571500"/>
    <xdr:pic>
      <xdr:nvPicPr>
        <xdr:cNvPr id="0" name="image32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73</xdr:row>
      <xdr:rowOff>0</xdr:rowOff>
    </xdr:from>
    <xdr:ext cx="914400" cy="571500"/>
    <xdr:pic>
      <xdr:nvPicPr>
        <xdr:cNvPr id="0" name="image24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73</xdr:row>
      <xdr:rowOff>0</xdr:rowOff>
    </xdr:from>
    <xdr:ext cx="923925" cy="523875"/>
    <xdr:pic>
      <xdr:nvPicPr>
        <xdr:cNvPr id="0" name="image2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73</xdr:row>
      <xdr:rowOff>0</xdr:rowOff>
    </xdr:from>
    <xdr:ext cx="952500" cy="571500"/>
    <xdr:pic>
      <xdr:nvPicPr>
        <xdr:cNvPr id="0" name="image1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73</xdr:row>
      <xdr:rowOff>0</xdr:rowOff>
    </xdr:from>
    <xdr:ext cx="933450" cy="571500"/>
    <xdr:pic>
      <xdr:nvPicPr>
        <xdr:cNvPr id="0" name="image3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73</xdr:row>
      <xdr:rowOff>0</xdr:rowOff>
    </xdr:from>
    <xdr:ext cx="952500" cy="571500"/>
    <xdr:pic>
      <xdr:nvPicPr>
        <xdr:cNvPr id="0" name="image22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73</xdr:row>
      <xdr:rowOff>0</xdr:rowOff>
    </xdr:from>
    <xdr:ext cx="933450" cy="571500"/>
    <xdr:pic>
      <xdr:nvPicPr>
        <xdr:cNvPr id="0" name="image17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74</xdr:row>
      <xdr:rowOff>0</xdr:rowOff>
    </xdr:from>
    <xdr:ext cx="962025" cy="542925"/>
    <xdr:pic>
      <xdr:nvPicPr>
        <xdr:cNvPr id="0" name="image29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74</xdr:row>
      <xdr:rowOff>0</xdr:rowOff>
    </xdr:from>
    <xdr:ext cx="962025" cy="552450"/>
    <xdr:pic>
      <xdr:nvPicPr>
        <xdr:cNvPr id="0" name="image19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74</xdr:row>
      <xdr:rowOff>0</xdr:rowOff>
    </xdr:from>
    <xdr:ext cx="923925" cy="542925"/>
    <xdr:pic>
      <xdr:nvPicPr>
        <xdr:cNvPr id="0" name="image23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74</xdr:row>
      <xdr:rowOff>0</xdr:rowOff>
    </xdr:from>
    <xdr:ext cx="962025" cy="571500"/>
    <xdr:pic>
      <xdr:nvPicPr>
        <xdr:cNvPr id="0" name="image30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74</xdr:row>
      <xdr:rowOff>0</xdr:rowOff>
    </xdr:from>
    <xdr:ext cx="962025" cy="561975"/>
    <xdr:pic>
      <xdr:nvPicPr>
        <xdr:cNvPr id="0" name="image26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74</xdr:row>
      <xdr:rowOff>0</xdr:rowOff>
    </xdr:from>
    <xdr:ext cx="962025" cy="571500"/>
    <xdr:pic>
      <xdr:nvPicPr>
        <xdr:cNvPr id="0" name="image3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75</xdr:row>
      <xdr:rowOff>0</xdr:rowOff>
    </xdr:from>
    <xdr:ext cx="962025" cy="561975"/>
    <xdr:pic>
      <xdr:nvPicPr>
        <xdr:cNvPr id="0" name="image28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75</xdr:row>
      <xdr:rowOff>0</xdr:rowOff>
    </xdr:from>
    <xdr:ext cx="962025" cy="561975"/>
    <xdr:pic>
      <xdr:nvPicPr>
        <xdr:cNvPr id="0" name="image27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75</xdr:row>
      <xdr:rowOff>0</xdr:rowOff>
    </xdr:from>
    <xdr:ext cx="923925" cy="571500"/>
    <xdr:pic>
      <xdr:nvPicPr>
        <xdr:cNvPr id="0" name="image25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75</xdr:row>
      <xdr:rowOff>0</xdr:rowOff>
    </xdr:from>
    <xdr:ext cx="962025" cy="552450"/>
    <xdr:pic>
      <xdr:nvPicPr>
        <xdr:cNvPr id="0" name="image34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75</xdr:row>
      <xdr:rowOff>0</xdr:rowOff>
    </xdr:from>
    <xdr:ext cx="962025" cy="561975"/>
    <xdr:pic>
      <xdr:nvPicPr>
        <xdr:cNvPr id="0" name="image36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75</xdr:row>
      <xdr:rowOff>0</xdr:rowOff>
    </xdr:from>
    <xdr:ext cx="962025" cy="581025"/>
    <xdr:pic>
      <xdr:nvPicPr>
        <xdr:cNvPr id="0" name="image35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53825" cy="111252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-200025</xdr:rowOff>
    </xdr:from>
    <xdr:ext cx="11553825" cy="1579245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171450</xdr:rowOff>
    </xdr:from>
    <xdr:ext cx="11563350" cy="1550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5" max="5" width="12.13"/>
  </cols>
  <sheetData>
    <row r="1">
      <c r="A1" s="5" t="s">
        <v>0</v>
      </c>
    </row>
    <row r="2">
      <c r="A2" s="6"/>
      <c r="B2" s="7"/>
      <c r="C2" s="7" t="s">
        <v>7</v>
      </c>
      <c r="D2" s="6"/>
      <c r="E2" s="6"/>
      <c r="F2" s="7" t="s">
        <v>9</v>
      </c>
      <c r="G2" s="6"/>
      <c r="H2" s="8" t="s">
        <v>11</v>
      </c>
      <c r="I2" s="9" t="s">
        <v>13</v>
      </c>
      <c r="J2" s="6"/>
    </row>
    <row r="3">
      <c r="A3" s="6"/>
      <c r="B3" s="6"/>
      <c r="C3" s="6"/>
      <c r="D3" s="6"/>
      <c r="E3" s="6"/>
      <c r="F3" s="6"/>
      <c r="G3" s="6"/>
      <c r="H3" s="6"/>
      <c r="I3" s="7" t="s">
        <v>17</v>
      </c>
      <c r="J3" s="6"/>
    </row>
    <row r="4">
      <c r="A4" s="6"/>
      <c r="B4" s="7"/>
      <c r="C4" s="10"/>
      <c r="D4" s="10"/>
      <c r="E4" s="10"/>
      <c r="F4" s="10"/>
      <c r="G4" s="6"/>
      <c r="H4" s="6"/>
      <c r="I4" s="6"/>
      <c r="J4" s="6"/>
    </row>
    <row r="5">
      <c r="A5" s="6"/>
      <c r="B5" s="7" t="s">
        <v>18</v>
      </c>
      <c r="C5" s="11" t="s">
        <v>19</v>
      </c>
      <c r="D5" s="12"/>
      <c r="E5" s="12"/>
      <c r="F5" s="12"/>
      <c r="G5" s="6"/>
      <c r="H5" s="7" t="s">
        <v>20</v>
      </c>
      <c r="I5" s="11" t="s">
        <v>21</v>
      </c>
      <c r="J5" s="6"/>
    </row>
    <row r="6">
      <c r="A6" s="6"/>
      <c r="B6" s="7"/>
      <c r="C6" s="10"/>
      <c r="D6" s="10"/>
      <c r="E6" s="10"/>
      <c r="F6" s="10"/>
      <c r="G6" s="6"/>
      <c r="H6" s="7"/>
      <c r="I6" s="10"/>
      <c r="J6" s="6"/>
    </row>
    <row r="7">
      <c r="A7" s="6"/>
      <c r="B7" s="7" t="s">
        <v>22</v>
      </c>
      <c r="C7" s="11" t="s">
        <v>19</v>
      </c>
      <c r="D7" s="12"/>
      <c r="E7" s="12"/>
      <c r="F7" s="12"/>
      <c r="G7" s="6"/>
      <c r="H7" s="7" t="s">
        <v>23</v>
      </c>
      <c r="I7" s="13"/>
      <c r="J7" s="6"/>
    </row>
    <row r="8">
      <c r="A8" s="6"/>
      <c r="B8" s="7"/>
      <c r="C8" s="10"/>
      <c r="D8" s="10"/>
      <c r="E8" s="10"/>
      <c r="F8" s="10"/>
      <c r="G8" s="6"/>
      <c r="H8" s="6"/>
      <c r="I8" s="6"/>
      <c r="J8" s="6"/>
    </row>
    <row r="9">
      <c r="A9" s="6"/>
      <c r="B9" s="14" t="s">
        <v>24</v>
      </c>
      <c r="C9" s="15"/>
      <c r="D9" s="15"/>
      <c r="E9" s="15"/>
      <c r="F9" s="15"/>
      <c r="G9" s="15"/>
      <c r="H9" s="15"/>
      <c r="I9" s="16"/>
      <c r="J9" s="6"/>
    </row>
    <row r="10">
      <c r="A10" s="6"/>
      <c r="B10" s="7" t="s">
        <v>25</v>
      </c>
      <c r="C10" s="11" t="s">
        <v>19</v>
      </c>
      <c r="D10" s="11"/>
      <c r="E10" s="10"/>
      <c r="F10" s="7" t="s">
        <v>22</v>
      </c>
      <c r="G10" s="11" t="s">
        <v>19</v>
      </c>
      <c r="H10" s="11"/>
      <c r="I10" s="17"/>
      <c r="J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</row>
    <row r="12">
      <c r="A12" s="6"/>
      <c r="B12" s="7" t="s">
        <v>26</v>
      </c>
      <c r="C12" s="11" t="s">
        <v>21</v>
      </c>
      <c r="D12" s="6"/>
      <c r="E12" s="18" t="s">
        <v>27</v>
      </c>
      <c r="F12" s="6"/>
      <c r="G12" s="6"/>
      <c r="H12" s="7" t="s">
        <v>28</v>
      </c>
      <c r="I12" s="11" t="s">
        <v>21</v>
      </c>
      <c r="J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>
      <c r="A14" s="6"/>
      <c r="B14" s="7" t="s">
        <v>29</v>
      </c>
      <c r="C14" s="11" t="s">
        <v>21</v>
      </c>
      <c r="D14" s="6"/>
      <c r="E14" s="7" t="s">
        <v>30</v>
      </c>
      <c r="F14" s="11" t="s">
        <v>31</v>
      </c>
      <c r="G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</row>
    <row r="16">
      <c r="A16" s="6"/>
      <c r="B16" s="7" t="s">
        <v>32</v>
      </c>
      <c r="C16" s="11" t="s">
        <v>33</v>
      </c>
      <c r="D16" s="6"/>
      <c r="E16" s="7" t="s">
        <v>34</v>
      </c>
      <c r="F16" s="11" t="s">
        <v>33</v>
      </c>
      <c r="G16" s="6"/>
      <c r="H16" s="7" t="s">
        <v>35</v>
      </c>
      <c r="I16" s="11" t="s">
        <v>21</v>
      </c>
      <c r="J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</row>
    <row r="18">
      <c r="A18" s="6"/>
      <c r="B18" s="7" t="s">
        <v>36</v>
      </c>
      <c r="C18" s="6"/>
      <c r="D18" s="11" t="s">
        <v>21</v>
      </c>
      <c r="E18" s="12"/>
      <c r="F18" s="7" t="s">
        <v>37</v>
      </c>
      <c r="G18" s="11" t="s">
        <v>21</v>
      </c>
      <c r="H18" s="7" t="s">
        <v>38</v>
      </c>
      <c r="I18" s="11" t="s">
        <v>21</v>
      </c>
      <c r="J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</row>
    <row r="20">
      <c r="A20" s="6"/>
      <c r="B20" s="7" t="s">
        <v>39</v>
      </c>
      <c r="C20" s="7"/>
      <c r="D20" s="6"/>
      <c r="E20" s="7" t="s">
        <v>40</v>
      </c>
      <c r="F20" s="6"/>
      <c r="G20" s="6"/>
      <c r="H20" s="7" t="s">
        <v>41</v>
      </c>
      <c r="I20" s="11" t="s">
        <v>21</v>
      </c>
      <c r="J20" s="6"/>
    </row>
    <row r="21">
      <c r="A21" s="6"/>
      <c r="B21" s="7" t="s">
        <v>42</v>
      </c>
      <c r="C21" s="19">
        <v>0.0</v>
      </c>
      <c r="D21" s="6"/>
      <c r="E21" s="6"/>
      <c r="F21" s="6"/>
      <c r="G21" s="6"/>
      <c r="H21" s="6"/>
      <c r="I21" s="6"/>
      <c r="J21" s="6"/>
    </row>
    <row r="22">
      <c r="A22" s="6"/>
      <c r="B22" s="7" t="s">
        <v>43</v>
      </c>
      <c r="C22" s="6"/>
      <c r="D22" s="6"/>
      <c r="E22" s="18" t="s">
        <v>44</v>
      </c>
      <c r="F22" s="6"/>
      <c r="G22" s="6"/>
      <c r="H22" s="7" t="s">
        <v>45</v>
      </c>
      <c r="I22" s="19">
        <v>0.0</v>
      </c>
      <c r="J22" s="6"/>
    </row>
    <row r="23">
      <c r="A23" s="6"/>
      <c r="B23" s="6"/>
      <c r="C23" s="6"/>
      <c r="D23" s="6"/>
      <c r="E23" s="7" t="s">
        <v>46</v>
      </c>
      <c r="F23" s="11" t="s">
        <v>21</v>
      </c>
      <c r="G23" s="17"/>
      <c r="H23" s="6"/>
      <c r="I23" s="6"/>
      <c r="J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</row>
    <row r="25">
      <c r="A25" s="6"/>
      <c r="B25" s="20" t="s">
        <v>47</v>
      </c>
      <c r="C25" s="7"/>
      <c r="D25" s="7" t="s">
        <v>48</v>
      </c>
      <c r="E25" s="6"/>
      <c r="F25" s="20" t="s">
        <v>47</v>
      </c>
      <c r="G25" s="7"/>
      <c r="H25" s="7" t="s">
        <v>48</v>
      </c>
      <c r="I25" s="6"/>
      <c r="J25" s="6"/>
    </row>
    <row r="26">
      <c r="A26" s="6"/>
      <c r="B26" s="7">
        <v>1.0</v>
      </c>
      <c r="C26" s="6"/>
      <c r="D26" s="11" t="s">
        <v>31</v>
      </c>
      <c r="E26" s="6"/>
      <c r="F26" s="7">
        <v>3.0</v>
      </c>
      <c r="G26" s="6"/>
      <c r="H26" s="11" t="s">
        <v>31</v>
      </c>
      <c r="I26" s="6"/>
      <c r="J26" s="6"/>
    </row>
    <row r="27">
      <c r="A27" s="6"/>
      <c r="B27" s="7">
        <v>2.0</v>
      </c>
      <c r="C27" s="6"/>
      <c r="D27" s="11" t="s">
        <v>31</v>
      </c>
      <c r="E27" s="6"/>
      <c r="F27" s="7">
        <v>4.0</v>
      </c>
      <c r="G27" s="6"/>
      <c r="H27" s="11" t="s">
        <v>31</v>
      </c>
      <c r="I27" s="6"/>
      <c r="J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</row>
    <row r="29">
      <c r="A29" s="6"/>
      <c r="B29" s="14" t="s">
        <v>49</v>
      </c>
      <c r="C29" s="15"/>
      <c r="D29" s="15"/>
      <c r="E29" s="15"/>
      <c r="F29" s="15"/>
      <c r="G29" s="15"/>
      <c r="H29" s="15"/>
      <c r="I29" s="16"/>
      <c r="J29" s="6"/>
    </row>
    <row r="30">
      <c r="A30" s="6"/>
      <c r="B30" s="7" t="s">
        <v>50</v>
      </c>
      <c r="C30" s="6"/>
      <c r="D30" s="6"/>
      <c r="E30" s="6"/>
      <c r="F30" s="6"/>
      <c r="G30" s="6"/>
      <c r="H30" s="6"/>
      <c r="I30" s="6"/>
      <c r="J30" s="6"/>
    </row>
    <row r="31">
      <c r="A31" s="6"/>
      <c r="B31" s="18" t="s">
        <v>51</v>
      </c>
      <c r="C31" s="21"/>
      <c r="D31" s="22"/>
      <c r="E31" s="18" t="s">
        <v>52</v>
      </c>
      <c r="F31" s="21"/>
      <c r="G31" s="22"/>
      <c r="H31" s="18" t="s">
        <v>53</v>
      </c>
      <c r="I31" s="21"/>
      <c r="J31" s="6"/>
    </row>
    <row r="32">
      <c r="A32" s="6"/>
      <c r="B32" s="18" t="s">
        <v>54</v>
      </c>
      <c r="C32" s="21"/>
      <c r="D32" s="22"/>
      <c r="E32" s="18" t="s">
        <v>55</v>
      </c>
      <c r="F32" s="21"/>
      <c r="G32" s="22"/>
      <c r="H32" s="18" t="s">
        <v>56</v>
      </c>
      <c r="I32" s="21"/>
      <c r="J32" s="6"/>
    </row>
    <row r="33">
      <c r="A33" s="6"/>
      <c r="B33" s="18" t="s">
        <v>57</v>
      </c>
      <c r="C33" s="21"/>
      <c r="D33" s="22"/>
      <c r="E33" s="18" t="s">
        <v>58</v>
      </c>
      <c r="F33" s="21"/>
      <c r="G33" s="22"/>
      <c r="H33" s="18" t="s">
        <v>59</v>
      </c>
      <c r="I33" s="21"/>
      <c r="J33" s="6"/>
    </row>
    <row r="34">
      <c r="A34" s="6"/>
      <c r="B34" s="18" t="s">
        <v>60</v>
      </c>
      <c r="C34" s="21"/>
      <c r="D34" s="22"/>
      <c r="E34" s="18" t="s">
        <v>61</v>
      </c>
      <c r="F34" s="21"/>
      <c r="G34" s="22"/>
      <c r="H34" s="18" t="s">
        <v>62</v>
      </c>
      <c r="I34" s="21"/>
      <c r="J34" s="6"/>
    </row>
    <row r="35">
      <c r="A35" s="6"/>
      <c r="B35" s="18" t="s">
        <v>63</v>
      </c>
      <c r="C35" s="21"/>
      <c r="D35" s="22"/>
      <c r="E35" s="18" t="s">
        <v>64</v>
      </c>
      <c r="F35" s="21"/>
      <c r="G35" s="22"/>
      <c r="H35" s="18" t="s">
        <v>65</v>
      </c>
      <c r="I35" s="21"/>
      <c r="J35" s="6"/>
    </row>
    <row r="36">
      <c r="A36" s="6"/>
      <c r="B36" s="18" t="s">
        <v>66</v>
      </c>
      <c r="C36" s="21"/>
      <c r="D36" s="22"/>
      <c r="E36" s="18" t="s">
        <v>67</v>
      </c>
      <c r="F36" s="21"/>
      <c r="G36" s="22"/>
      <c r="H36" s="18" t="s">
        <v>68</v>
      </c>
      <c r="I36" s="21"/>
      <c r="J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</row>
    <row r="38">
      <c r="A38" s="6"/>
      <c r="B38" s="14" t="s">
        <v>69</v>
      </c>
      <c r="C38" s="15"/>
      <c r="D38" s="15"/>
      <c r="E38" s="15"/>
      <c r="F38" s="15"/>
      <c r="G38" s="15"/>
      <c r="H38" s="15"/>
      <c r="I38" s="15"/>
      <c r="J38" s="16"/>
    </row>
    <row r="39">
      <c r="A39" s="6"/>
      <c r="B39" s="23" t="s">
        <v>70</v>
      </c>
      <c r="C39" s="24">
        <v>0.0</v>
      </c>
      <c r="D39" s="25">
        <v>1.0</v>
      </c>
      <c r="E39" s="16"/>
      <c r="F39" s="25">
        <v>2.0</v>
      </c>
      <c r="G39" s="16"/>
      <c r="H39" s="24" t="s">
        <v>71</v>
      </c>
      <c r="I39" s="24" t="s">
        <v>72</v>
      </c>
      <c r="J39" s="24" t="s">
        <v>73</v>
      </c>
    </row>
    <row r="40">
      <c r="A40" s="6"/>
      <c r="B40" s="23" t="s">
        <v>74</v>
      </c>
      <c r="C40" s="23" t="s">
        <v>75</v>
      </c>
      <c r="D40" s="26" t="s">
        <v>76</v>
      </c>
      <c r="E40" s="16"/>
      <c r="F40" s="26" t="s">
        <v>77</v>
      </c>
      <c r="G40" s="16"/>
      <c r="H40" s="24">
        <v>2.0</v>
      </c>
      <c r="I40" s="24">
        <v>2.0</v>
      </c>
      <c r="J40" s="24">
        <v>2.0</v>
      </c>
    </row>
    <row r="41" ht="25.5" customHeight="1">
      <c r="A41" s="6"/>
      <c r="B41" s="27" t="s">
        <v>78</v>
      </c>
      <c r="C41" s="23" t="s">
        <v>75</v>
      </c>
      <c r="D41" s="26" t="s">
        <v>79</v>
      </c>
      <c r="E41" s="16"/>
      <c r="F41" s="26" t="s">
        <v>80</v>
      </c>
      <c r="G41" s="16"/>
      <c r="H41" s="24">
        <v>2.0</v>
      </c>
      <c r="I41" s="24">
        <v>2.0</v>
      </c>
      <c r="J41" s="24">
        <v>2.0</v>
      </c>
    </row>
    <row r="42">
      <c r="A42" s="6"/>
      <c r="B42" s="23" t="s">
        <v>81</v>
      </c>
      <c r="C42" s="23" t="s">
        <v>82</v>
      </c>
      <c r="D42" s="26" t="s">
        <v>83</v>
      </c>
      <c r="E42" s="16"/>
      <c r="F42" s="26" t="s">
        <v>84</v>
      </c>
      <c r="G42" s="16"/>
      <c r="H42" s="24">
        <v>1.0</v>
      </c>
      <c r="I42" s="24">
        <v>2.0</v>
      </c>
      <c r="J42" s="24">
        <v>2.0</v>
      </c>
    </row>
    <row r="43">
      <c r="A43" s="6"/>
      <c r="B43" s="23" t="s">
        <v>85</v>
      </c>
      <c r="C43" s="23" t="s">
        <v>86</v>
      </c>
      <c r="D43" s="26" t="s">
        <v>87</v>
      </c>
      <c r="E43" s="16"/>
      <c r="F43" s="26" t="s">
        <v>88</v>
      </c>
      <c r="G43" s="16"/>
      <c r="H43" s="24">
        <v>1.0</v>
      </c>
      <c r="I43" s="24">
        <v>1.0</v>
      </c>
      <c r="J43" s="24">
        <v>2.0</v>
      </c>
    </row>
    <row r="44">
      <c r="A44" s="6"/>
      <c r="B44" s="23" t="s">
        <v>89</v>
      </c>
      <c r="C44" s="23" t="s">
        <v>90</v>
      </c>
      <c r="D44" s="28" t="s">
        <v>91</v>
      </c>
      <c r="E44" s="16"/>
      <c r="F44" s="26" t="s">
        <v>92</v>
      </c>
      <c r="G44" s="16"/>
      <c r="H44" s="24">
        <v>1.0</v>
      </c>
      <c r="I44" s="24">
        <v>1.0</v>
      </c>
      <c r="J44" s="24">
        <v>1.0</v>
      </c>
    </row>
    <row r="45">
      <c r="A45" s="6"/>
      <c r="B45" s="29"/>
      <c r="C45" s="15"/>
      <c r="D45" s="15"/>
      <c r="E45" s="16"/>
      <c r="F45" s="30" t="s">
        <v>93</v>
      </c>
      <c r="G45" s="16"/>
      <c r="H45" s="31">
        <f t="shared" ref="H45:J45" si="1">sum(H40:H44)</f>
        <v>7</v>
      </c>
      <c r="I45" s="31">
        <f t="shared" si="1"/>
        <v>8</v>
      </c>
      <c r="J45" s="31">
        <f t="shared" si="1"/>
        <v>9</v>
      </c>
    </row>
    <row r="46">
      <c r="A46" s="6"/>
      <c r="B46" s="7" t="s">
        <v>94</v>
      </c>
      <c r="C46" s="6"/>
      <c r="D46" s="17"/>
      <c r="E46" s="6"/>
      <c r="F46" s="6"/>
      <c r="G46" s="6"/>
      <c r="H46" s="6"/>
      <c r="I46" s="6"/>
      <c r="J46" s="6"/>
    </row>
    <row r="47">
      <c r="A47" s="6"/>
      <c r="B47" s="7"/>
      <c r="C47" s="6"/>
      <c r="D47" s="10"/>
      <c r="E47" s="6"/>
      <c r="F47" s="7"/>
      <c r="G47" s="6"/>
      <c r="H47" s="6"/>
      <c r="I47" s="6"/>
      <c r="J47" s="6"/>
    </row>
    <row r="48">
      <c r="A48" s="6"/>
      <c r="B48" s="7" t="s">
        <v>95</v>
      </c>
      <c r="C48" s="6"/>
      <c r="D48" s="11" t="s">
        <v>21</v>
      </c>
      <c r="E48" s="6"/>
      <c r="F48" s="7" t="s">
        <v>96</v>
      </c>
      <c r="G48" s="6"/>
      <c r="H48" s="6"/>
      <c r="I48" s="6"/>
      <c r="J48" s="6"/>
    </row>
    <row r="49">
      <c r="A49" s="6"/>
      <c r="B49" s="7" t="s">
        <v>97</v>
      </c>
      <c r="C49" s="11" t="s">
        <v>33</v>
      </c>
      <c r="D49" s="7" t="s">
        <v>98</v>
      </c>
      <c r="E49" s="6"/>
      <c r="F49" s="7" t="s">
        <v>99</v>
      </c>
      <c r="G49" s="6"/>
      <c r="H49" s="11" t="s">
        <v>33</v>
      </c>
      <c r="I49" s="7" t="s">
        <v>100</v>
      </c>
      <c r="J49" s="6"/>
    </row>
    <row r="50">
      <c r="A50" s="6"/>
      <c r="B50" s="7" t="s">
        <v>101</v>
      </c>
      <c r="C50" s="11" t="s">
        <v>33</v>
      </c>
      <c r="D50" s="7" t="s">
        <v>100</v>
      </c>
      <c r="E50" s="6"/>
      <c r="F50" s="7" t="s">
        <v>102</v>
      </c>
      <c r="G50" s="6"/>
      <c r="H50" s="11" t="s">
        <v>33</v>
      </c>
      <c r="I50" s="7" t="s">
        <v>100</v>
      </c>
      <c r="J50" s="6"/>
    </row>
    <row r="51">
      <c r="A51" s="6"/>
      <c r="B51" s="7" t="s">
        <v>103</v>
      </c>
      <c r="C51" s="11" t="s">
        <v>33</v>
      </c>
      <c r="D51" s="7" t="s">
        <v>104</v>
      </c>
      <c r="E51" s="6"/>
      <c r="F51" s="7" t="s">
        <v>105</v>
      </c>
      <c r="G51" s="6"/>
      <c r="H51" s="11" t="s">
        <v>33</v>
      </c>
      <c r="I51" s="7" t="s">
        <v>100</v>
      </c>
      <c r="J51" s="6"/>
    </row>
    <row r="52">
      <c r="A52" s="6"/>
      <c r="B52" s="7" t="s">
        <v>106</v>
      </c>
      <c r="C52" s="11" t="s">
        <v>33</v>
      </c>
      <c r="D52" s="7" t="s">
        <v>107</v>
      </c>
      <c r="E52" s="6"/>
      <c r="F52" s="7" t="s">
        <v>108</v>
      </c>
      <c r="G52" s="6"/>
      <c r="H52" s="11" t="s">
        <v>33</v>
      </c>
      <c r="I52" s="7" t="s">
        <v>109</v>
      </c>
      <c r="J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</row>
    <row r="54">
      <c r="A54" s="6"/>
      <c r="B54" s="14" t="s">
        <v>110</v>
      </c>
      <c r="C54" s="15"/>
      <c r="D54" s="15"/>
      <c r="E54" s="15"/>
      <c r="F54" s="15"/>
      <c r="G54" s="15"/>
      <c r="H54" s="15"/>
      <c r="I54" s="16"/>
      <c r="J54" s="6"/>
    </row>
    <row r="55">
      <c r="A55" s="6"/>
      <c r="B55" s="8" t="s">
        <v>11</v>
      </c>
      <c r="C55" s="7" t="s">
        <v>111</v>
      </c>
      <c r="D55" s="6"/>
      <c r="E55" s="6"/>
      <c r="F55" s="6"/>
      <c r="G55" s="7" t="s">
        <v>112</v>
      </c>
      <c r="H55" s="11" t="s">
        <v>21</v>
      </c>
      <c r="I55" s="12"/>
      <c r="J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</row>
    <row r="57">
      <c r="A57" s="6"/>
      <c r="B57" s="8" t="s">
        <v>11</v>
      </c>
      <c r="C57" s="7" t="s">
        <v>113</v>
      </c>
      <c r="D57" s="6"/>
      <c r="E57" s="6"/>
      <c r="F57" s="6"/>
      <c r="G57" s="7" t="s">
        <v>114</v>
      </c>
      <c r="H57" s="11" t="s">
        <v>21</v>
      </c>
      <c r="I57" s="12"/>
      <c r="J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</row>
    <row r="59">
      <c r="A59" s="6"/>
      <c r="B59" s="7" t="s">
        <v>115</v>
      </c>
      <c r="C59" s="6"/>
      <c r="D59" s="6"/>
      <c r="E59" s="6"/>
      <c r="F59" s="6"/>
      <c r="G59" s="7" t="s">
        <v>116</v>
      </c>
      <c r="H59" s="6"/>
      <c r="I59" s="6"/>
      <c r="J59" s="6"/>
    </row>
    <row r="60">
      <c r="A60" s="6"/>
      <c r="B60" s="11" t="s">
        <v>11</v>
      </c>
      <c r="C60" s="7" t="s">
        <v>117</v>
      </c>
      <c r="D60" s="6"/>
      <c r="E60" s="6"/>
      <c r="F60" s="6"/>
      <c r="G60" s="11" t="s">
        <v>21</v>
      </c>
      <c r="H60" s="32"/>
      <c r="I60" s="32"/>
      <c r="J60" s="6"/>
    </row>
    <row r="61">
      <c r="A61" s="6"/>
      <c r="B61" s="11" t="s">
        <v>11</v>
      </c>
      <c r="C61" s="7" t="s">
        <v>118</v>
      </c>
      <c r="D61" s="6"/>
      <c r="E61" s="6"/>
      <c r="F61" s="6"/>
      <c r="G61" s="11" t="s">
        <v>21</v>
      </c>
      <c r="H61" s="32"/>
      <c r="I61" s="32"/>
      <c r="J61" s="6"/>
    </row>
    <row r="62">
      <c r="A62" s="6"/>
      <c r="B62" s="11" t="s">
        <v>11</v>
      </c>
      <c r="C62" s="7" t="s">
        <v>119</v>
      </c>
      <c r="D62" s="6"/>
      <c r="E62" s="6"/>
      <c r="F62" s="6"/>
      <c r="G62" s="11" t="s">
        <v>21</v>
      </c>
      <c r="H62" s="32"/>
      <c r="I62" s="32"/>
      <c r="J62" s="6"/>
    </row>
    <row r="63">
      <c r="A63" s="6"/>
      <c r="B63" s="11" t="s">
        <v>11</v>
      </c>
      <c r="C63" s="7" t="s">
        <v>120</v>
      </c>
      <c r="D63" s="6"/>
      <c r="E63" s="6"/>
      <c r="F63" s="6"/>
      <c r="G63" s="11" t="s">
        <v>21</v>
      </c>
      <c r="H63" s="32"/>
      <c r="I63" s="32"/>
      <c r="J63" s="6"/>
    </row>
    <row r="64">
      <c r="A64" s="6"/>
      <c r="B64" s="6"/>
      <c r="C64" s="6"/>
      <c r="D64" s="6"/>
      <c r="E64" s="6"/>
      <c r="F64" s="6"/>
      <c r="G64" s="33"/>
      <c r="H64" s="33"/>
      <c r="I64" s="33"/>
      <c r="J64" s="6"/>
    </row>
    <row r="65">
      <c r="A65" s="6"/>
      <c r="B65" s="6"/>
      <c r="C65" s="6"/>
      <c r="D65" s="6"/>
      <c r="E65" s="6"/>
      <c r="F65" s="6"/>
      <c r="G65" s="34" t="s">
        <v>21</v>
      </c>
      <c r="H65" s="12"/>
      <c r="I65" s="12"/>
      <c r="J65" s="6"/>
    </row>
    <row r="66">
      <c r="A66" s="6"/>
      <c r="B66" s="6"/>
      <c r="C66" s="6"/>
      <c r="D66" s="6"/>
      <c r="E66" s="6"/>
      <c r="F66" s="6"/>
      <c r="G66" s="35" t="s">
        <v>121</v>
      </c>
      <c r="J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</row>
    <row r="68">
      <c r="A68" s="6"/>
      <c r="B68" s="14" t="s">
        <v>122</v>
      </c>
      <c r="C68" s="15"/>
      <c r="D68" s="15"/>
      <c r="E68" s="15"/>
      <c r="F68" s="15"/>
      <c r="G68" s="15"/>
      <c r="H68" s="15"/>
      <c r="I68" s="16"/>
      <c r="J68" s="6"/>
    </row>
    <row r="69">
      <c r="A69" s="6"/>
      <c r="B69" s="7" t="s">
        <v>123</v>
      </c>
      <c r="C69" s="6"/>
      <c r="D69" s="6"/>
      <c r="E69" s="6"/>
      <c r="F69" s="6"/>
      <c r="G69" s="6"/>
      <c r="H69" s="6"/>
      <c r="I69" s="6"/>
      <c r="J69" s="6"/>
    </row>
    <row r="70" ht="48.0" customHeight="1">
      <c r="A70" s="6"/>
      <c r="B70" s="23" t="s">
        <v>3</v>
      </c>
      <c r="C70" s="23">
        <v>-1.0</v>
      </c>
      <c r="D70" s="23">
        <v>0.0</v>
      </c>
      <c r="E70" s="23">
        <v>1.0</v>
      </c>
      <c r="F70" s="23">
        <v>2.0</v>
      </c>
      <c r="G70" s="23">
        <v>3.0</v>
      </c>
      <c r="H70" s="23">
        <v>4.0</v>
      </c>
      <c r="I70" s="23">
        <v>5.0</v>
      </c>
      <c r="J70" s="35" t="s">
        <v>3</v>
      </c>
    </row>
    <row r="71" ht="52.5" customHeight="1">
      <c r="A71" s="6"/>
      <c r="B71" s="23" t="s">
        <v>124</v>
      </c>
      <c r="C71" s="36"/>
      <c r="D71" s="36"/>
      <c r="E71" s="36"/>
      <c r="F71" s="36"/>
      <c r="G71" s="36"/>
      <c r="H71" s="36"/>
      <c r="I71" s="36"/>
      <c r="J71" s="7">
        <v>2.0</v>
      </c>
    </row>
    <row r="72" ht="49.5" customHeight="1">
      <c r="A72" s="6"/>
      <c r="B72" s="23" t="s">
        <v>125</v>
      </c>
      <c r="C72" s="36"/>
      <c r="D72" s="36"/>
      <c r="E72" s="36"/>
      <c r="F72" s="36"/>
      <c r="G72" s="36"/>
      <c r="H72" s="36"/>
      <c r="I72" s="36"/>
      <c r="J72" s="7">
        <v>2.0</v>
      </c>
    </row>
    <row r="73" ht="45.0" customHeight="1">
      <c r="A73" s="6"/>
      <c r="B73" s="23" t="s">
        <v>126</v>
      </c>
      <c r="C73" s="36"/>
      <c r="D73" s="36"/>
      <c r="E73" s="36"/>
      <c r="F73" s="36"/>
      <c r="G73" s="36"/>
      <c r="H73" s="36"/>
      <c r="I73" s="36"/>
      <c r="J73" s="7">
        <v>2.0</v>
      </c>
    </row>
    <row r="74" ht="45.0" customHeight="1">
      <c r="A74" s="6"/>
      <c r="B74" s="23" t="s">
        <v>127</v>
      </c>
      <c r="C74" s="36"/>
      <c r="D74" s="36"/>
      <c r="E74" s="36"/>
      <c r="F74" s="36"/>
      <c r="G74" s="36"/>
      <c r="H74" s="36"/>
      <c r="I74" s="36"/>
      <c r="J74" s="7">
        <v>3.0</v>
      </c>
    </row>
    <row r="75" ht="46.5" customHeight="1">
      <c r="A75" s="6"/>
      <c r="B75" s="23" t="s">
        <v>128</v>
      </c>
      <c r="C75" s="36"/>
      <c r="D75" s="36"/>
      <c r="E75" s="36"/>
      <c r="F75" s="36"/>
      <c r="G75" s="36"/>
      <c r="H75" s="36"/>
      <c r="I75" s="36"/>
      <c r="J75" s="7">
        <v>3.0</v>
      </c>
    </row>
    <row r="76" ht="49.5" customHeight="1">
      <c r="A76" s="6"/>
      <c r="B76" s="23" t="s">
        <v>129</v>
      </c>
      <c r="C76" s="36"/>
      <c r="D76" s="36"/>
      <c r="E76" s="36"/>
      <c r="F76" s="36"/>
      <c r="G76" s="36"/>
      <c r="H76" s="36"/>
      <c r="I76" s="36"/>
      <c r="J76" s="7">
        <v>2.0</v>
      </c>
    </row>
    <row r="77">
      <c r="A77" s="6"/>
      <c r="B77" s="36"/>
      <c r="C77" s="36"/>
      <c r="D77" s="36"/>
      <c r="E77" s="36"/>
      <c r="F77" s="36"/>
      <c r="G77" s="36"/>
      <c r="H77" s="36"/>
      <c r="I77" s="23" t="s">
        <v>130</v>
      </c>
      <c r="J77" s="6">
        <f>sum(J71:J76)</f>
        <v>14</v>
      </c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</row>
    <row r="79">
      <c r="A79" s="6"/>
      <c r="B79" s="7" t="s">
        <v>131</v>
      </c>
      <c r="C79" s="6"/>
      <c r="D79" s="6"/>
      <c r="E79" s="6"/>
      <c r="F79" s="6"/>
      <c r="G79" s="6"/>
      <c r="H79" s="6"/>
      <c r="I79" s="6"/>
      <c r="J79" s="6"/>
    </row>
    <row r="80">
      <c r="A80" s="6"/>
      <c r="B80" s="7" t="s">
        <v>3</v>
      </c>
      <c r="C80" s="7">
        <v>-1.0</v>
      </c>
      <c r="D80" s="7">
        <v>0.0</v>
      </c>
      <c r="E80" s="7">
        <v>1.0</v>
      </c>
      <c r="F80" s="7">
        <v>2.0</v>
      </c>
      <c r="G80" s="7">
        <v>3.0</v>
      </c>
      <c r="H80" s="7">
        <v>4.0</v>
      </c>
      <c r="I80" s="7">
        <v>5.0</v>
      </c>
      <c r="J80" s="6"/>
    </row>
    <row r="81">
      <c r="A81" s="6"/>
      <c r="B81" s="18" t="s">
        <v>132</v>
      </c>
      <c r="C81" s="37" t="s">
        <v>133</v>
      </c>
      <c r="D81" s="37" t="s">
        <v>134</v>
      </c>
      <c r="E81" s="37" t="s">
        <v>135</v>
      </c>
      <c r="F81" s="37" t="s">
        <v>136</v>
      </c>
      <c r="G81" s="37" t="s">
        <v>137</v>
      </c>
      <c r="H81" s="37" t="s">
        <v>138</v>
      </c>
      <c r="I81" s="37" t="s">
        <v>139</v>
      </c>
      <c r="J81" s="7">
        <v>2.0</v>
      </c>
    </row>
    <row r="82">
      <c r="A82" s="6"/>
      <c r="B82" s="18" t="s">
        <v>140</v>
      </c>
      <c r="C82" s="37" t="s">
        <v>141</v>
      </c>
      <c r="D82" s="37" t="s">
        <v>142</v>
      </c>
      <c r="E82" s="37" t="s">
        <v>143</v>
      </c>
      <c r="F82" s="37" t="s">
        <v>144</v>
      </c>
      <c r="G82" s="37" t="s">
        <v>145</v>
      </c>
      <c r="H82" s="37" t="s">
        <v>146</v>
      </c>
      <c r="I82" s="22"/>
      <c r="J82" s="7">
        <v>3.0</v>
      </c>
    </row>
    <row r="83">
      <c r="A83" s="6"/>
      <c r="B83" s="18" t="s">
        <v>147</v>
      </c>
      <c r="C83" s="37" t="s">
        <v>148</v>
      </c>
      <c r="D83" s="37" t="s">
        <v>149</v>
      </c>
      <c r="E83" s="37" t="s">
        <v>150</v>
      </c>
      <c r="F83" s="37" t="s">
        <v>151</v>
      </c>
      <c r="G83" s="37" t="s">
        <v>152</v>
      </c>
      <c r="H83" s="37" t="s">
        <v>153</v>
      </c>
      <c r="I83" s="22"/>
      <c r="J83" s="7">
        <v>3.0</v>
      </c>
    </row>
    <row r="84">
      <c r="A84" s="6"/>
      <c r="B84" s="38" t="s">
        <v>154</v>
      </c>
      <c r="C84" s="37" t="s">
        <v>155</v>
      </c>
      <c r="D84" s="37" t="s">
        <v>156</v>
      </c>
      <c r="E84" s="37" t="s">
        <v>157</v>
      </c>
      <c r="F84" s="37" t="s">
        <v>158</v>
      </c>
      <c r="G84" s="37" t="s">
        <v>159</v>
      </c>
      <c r="H84" s="37" t="s">
        <v>160</v>
      </c>
      <c r="I84" s="22"/>
      <c r="J84" s="7">
        <v>3.0</v>
      </c>
    </row>
    <row r="85">
      <c r="A85" s="6"/>
      <c r="B85" s="38" t="s">
        <v>161</v>
      </c>
      <c r="C85" s="37" t="s">
        <v>162</v>
      </c>
      <c r="D85" s="37" t="s">
        <v>163</v>
      </c>
      <c r="E85" s="37" t="s">
        <v>164</v>
      </c>
      <c r="F85" s="37" t="s">
        <v>165</v>
      </c>
      <c r="G85" s="37" t="s">
        <v>166</v>
      </c>
      <c r="H85" s="37" t="s">
        <v>167</v>
      </c>
      <c r="I85" s="22"/>
      <c r="J85" s="7">
        <v>2.0</v>
      </c>
    </row>
    <row r="86">
      <c r="A86" s="6"/>
      <c r="B86" s="38" t="s">
        <v>168</v>
      </c>
      <c r="C86" s="37" t="s">
        <v>169</v>
      </c>
      <c r="D86" s="37" t="s">
        <v>170</v>
      </c>
      <c r="E86" s="37" t="s">
        <v>171</v>
      </c>
      <c r="F86" s="37" t="s">
        <v>172</v>
      </c>
      <c r="G86" s="37" t="s">
        <v>173</v>
      </c>
      <c r="H86" s="37" t="s">
        <v>174</v>
      </c>
      <c r="I86" s="22"/>
      <c r="J86" s="7">
        <v>2.0</v>
      </c>
    </row>
    <row r="87">
      <c r="A87" s="6"/>
      <c r="B87" s="38" t="s">
        <v>175</v>
      </c>
      <c r="C87" s="37" t="s">
        <v>176</v>
      </c>
      <c r="D87" s="37" t="s">
        <v>177</v>
      </c>
      <c r="E87" s="37" t="s">
        <v>178</v>
      </c>
      <c r="F87" s="37" t="s">
        <v>179</v>
      </c>
      <c r="G87" s="37" t="s">
        <v>180</v>
      </c>
      <c r="H87" s="37" t="s">
        <v>181</v>
      </c>
      <c r="I87" s="22"/>
      <c r="J87" s="7">
        <v>2.0</v>
      </c>
    </row>
    <row r="88">
      <c r="A88" s="6"/>
      <c r="B88" s="6"/>
      <c r="C88" s="6"/>
      <c r="D88" s="6"/>
      <c r="E88" s="6"/>
      <c r="F88" s="6"/>
      <c r="G88" s="6"/>
      <c r="H88" s="6"/>
      <c r="I88" s="7" t="s">
        <v>130</v>
      </c>
      <c r="J88" s="6">
        <f>sum(J81:J87)</f>
        <v>17</v>
      </c>
    </row>
    <row r="89">
      <c r="A89" s="6"/>
      <c r="B89" s="39" t="s">
        <v>93</v>
      </c>
      <c r="C89" s="36">
        <f>sum(J77+J88)</f>
        <v>31</v>
      </c>
      <c r="D89" s="6"/>
      <c r="E89" s="39" t="s">
        <v>182</v>
      </c>
      <c r="F89" s="36">
        <f t="array" ref="F89">_xlfn.XLOOKUP(C89, Vlookup!A2:A62, Vlookup!B2:B62, "Invalid Score", 0)</f>
        <v>37</v>
      </c>
      <c r="G89" s="7"/>
      <c r="H89" s="40" t="s">
        <v>4</v>
      </c>
      <c r="I89" s="36" t="str">
        <f t="array" ref="I89">_xlfn.XLOOKUP(F89, Vlookup!D2:D62, Vlookup!E2:E62, "Invalid Score", 0)</f>
        <v>Early Term</v>
      </c>
      <c r="J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</row>
    <row r="91">
      <c r="A91" s="6"/>
      <c r="B91" s="41" t="s">
        <v>183</v>
      </c>
      <c r="C91" s="16"/>
      <c r="D91" s="6"/>
      <c r="E91" s="41" t="s">
        <v>184</v>
      </c>
      <c r="F91" s="16"/>
      <c r="G91" s="6"/>
      <c r="H91" s="41" t="s">
        <v>185</v>
      </c>
      <c r="I91" s="16"/>
      <c r="J91" s="6"/>
    </row>
    <row r="92">
      <c r="A92" s="6"/>
      <c r="B92" s="42"/>
      <c r="C92" s="42"/>
      <c r="D92" s="42"/>
      <c r="E92" s="42"/>
      <c r="F92" s="42"/>
      <c r="G92" s="42"/>
      <c r="H92" s="42"/>
      <c r="I92" s="42"/>
      <c r="J92" s="6"/>
    </row>
    <row r="93">
      <c r="A93" s="6"/>
      <c r="B93" s="14" t="s">
        <v>186</v>
      </c>
      <c r="C93" s="15"/>
      <c r="D93" s="15"/>
      <c r="E93" s="15"/>
      <c r="F93" s="15"/>
      <c r="G93" s="15"/>
      <c r="H93" s="15"/>
      <c r="I93" s="16"/>
      <c r="J93" s="6"/>
    </row>
    <row r="94">
      <c r="A94" s="6"/>
      <c r="B94" s="7" t="s">
        <v>187</v>
      </c>
      <c r="C94" s="11" t="s">
        <v>21</v>
      </c>
      <c r="D94" s="12"/>
      <c r="E94" s="6"/>
      <c r="F94" s="7" t="s">
        <v>188</v>
      </c>
      <c r="G94" s="11" t="s">
        <v>21</v>
      </c>
      <c r="H94" s="12"/>
      <c r="I94" s="6"/>
      <c r="J94" s="6"/>
    </row>
    <row r="95">
      <c r="A95" s="6"/>
      <c r="B95" s="7" t="s">
        <v>189</v>
      </c>
      <c r="C95" s="11" t="s">
        <v>21</v>
      </c>
      <c r="D95" s="12"/>
      <c r="E95" s="6"/>
      <c r="F95" s="7" t="s">
        <v>190</v>
      </c>
      <c r="G95" s="11" t="s">
        <v>21</v>
      </c>
      <c r="H95" s="12"/>
      <c r="I95" s="6"/>
      <c r="J95" s="6"/>
    </row>
    <row r="96">
      <c r="A96" s="6"/>
      <c r="B96" s="7" t="s">
        <v>191</v>
      </c>
      <c r="C96" s="11" t="s">
        <v>21</v>
      </c>
      <c r="D96" s="12"/>
      <c r="E96" s="6"/>
      <c r="F96" s="7" t="s">
        <v>192</v>
      </c>
      <c r="G96" s="11" t="s">
        <v>21</v>
      </c>
      <c r="H96" s="12"/>
      <c r="I96" s="6"/>
      <c r="J96" s="6"/>
    </row>
    <row r="97">
      <c r="A97" s="6"/>
      <c r="B97" s="7" t="s">
        <v>193</v>
      </c>
      <c r="C97" s="11" t="s">
        <v>21</v>
      </c>
      <c r="D97" s="12"/>
      <c r="E97" s="6"/>
      <c r="F97" s="7" t="s">
        <v>132</v>
      </c>
      <c r="G97" s="11" t="s">
        <v>21</v>
      </c>
      <c r="H97" s="12"/>
      <c r="I97" s="6"/>
      <c r="J97" s="6"/>
    </row>
    <row r="98">
      <c r="A98" s="6"/>
      <c r="B98" s="7" t="s">
        <v>194</v>
      </c>
      <c r="C98" s="11" t="s">
        <v>21</v>
      </c>
      <c r="D98" s="12"/>
      <c r="E98" s="6"/>
      <c r="F98" s="7" t="s">
        <v>195</v>
      </c>
      <c r="G98" s="11" t="s">
        <v>21</v>
      </c>
      <c r="H98" s="12"/>
      <c r="I98" s="6"/>
      <c r="J98" s="6"/>
    </row>
    <row r="99">
      <c r="A99" s="6"/>
      <c r="B99" s="7" t="s">
        <v>196</v>
      </c>
      <c r="C99" s="11" t="s">
        <v>21</v>
      </c>
      <c r="D99" s="12"/>
      <c r="E99" s="6"/>
      <c r="F99" s="7" t="s">
        <v>197</v>
      </c>
      <c r="G99" s="11" t="s">
        <v>21</v>
      </c>
      <c r="H99" s="12"/>
      <c r="I99" s="6"/>
      <c r="J99" s="6"/>
    </row>
    <row r="100">
      <c r="A100" s="6"/>
      <c r="B100" s="7" t="s">
        <v>198</v>
      </c>
      <c r="C100" s="11" t="s">
        <v>21</v>
      </c>
      <c r="D100" s="12"/>
      <c r="E100" s="6"/>
      <c r="F100" s="7" t="s">
        <v>199</v>
      </c>
      <c r="G100" s="6"/>
      <c r="I100" s="6"/>
      <c r="J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</row>
    <row r="102">
      <c r="A102" s="6"/>
      <c r="B102" s="7" t="s">
        <v>200</v>
      </c>
      <c r="C102" s="6"/>
      <c r="D102" s="6"/>
      <c r="E102" s="6"/>
      <c r="F102" s="7" t="s">
        <v>68</v>
      </c>
      <c r="G102" s="11" t="s">
        <v>21</v>
      </c>
      <c r="H102" s="12"/>
      <c r="I102" s="6"/>
      <c r="J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</row>
    <row r="104">
      <c r="A104" s="6"/>
      <c r="B104" s="14" t="s">
        <v>201</v>
      </c>
      <c r="C104" s="15"/>
      <c r="D104" s="15"/>
      <c r="E104" s="15"/>
      <c r="F104" s="15"/>
      <c r="G104" s="15"/>
      <c r="H104" s="15"/>
      <c r="I104" s="16"/>
      <c r="J104" s="6"/>
    </row>
    <row r="105">
      <c r="A105" s="6"/>
      <c r="B105" s="6"/>
      <c r="C105" s="6"/>
      <c r="D105" s="43" t="s">
        <v>202</v>
      </c>
      <c r="E105" s="7" t="s">
        <v>203</v>
      </c>
      <c r="F105" s="6"/>
      <c r="G105" s="6"/>
      <c r="H105" s="43" t="s">
        <v>202</v>
      </c>
      <c r="I105" s="7" t="s">
        <v>203</v>
      </c>
      <c r="J105" s="6"/>
    </row>
    <row r="106">
      <c r="A106" s="6"/>
      <c r="B106" s="7" t="s">
        <v>204</v>
      </c>
      <c r="C106" s="6"/>
      <c r="D106" s="11" t="s">
        <v>31</v>
      </c>
      <c r="E106" s="6"/>
      <c r="F106" s="7" t="s">
        <v>205</v>
      </c>
      <c r="G106" s="6"/>
      <c r="H106" s="11" t="s">
        <v>31</v>
      </c>
      <c r="I106" s="6"/>
      <c r="J106" s="6"/>
    </row>
    <row r="107">
      <c r="A107" s="6"/>
      <c r="B107" s="7" t="s">
        <v>206</v>
      </c>
      <c r="C107" s="6"/>
      <c r="D107" s="11" t="s">
        <v>31</v>
      </c>
      <c r="E107" s="6"/>
      <c r="F107" s="7" t="s">
        <v>207</v>
      </c>
      <c r="G107" s="6"/>
      <c r="H107" s="11" t="s">
        <v>31</v>
      </c>
      <c r="I107" s="6"/>
      <c r="J107" s="6"/>
    </row>
    <row r="108">
      <c r="A108" s="6"/>
      <c r="B108" s="6"/>
      <c r="C108" s="6"/>
      <c r="D108" s="6"/>
      <c r="E108" s="6"/>
      <c r="F108" s="7" t="s">
        <v>208</v>
      </c>
      <c r="G108" s="6"/>
      <c r="H108" s="11" t="s">
        <v>31</v>
      </c>
      <c r="I108" s="6"/>
      <c r="J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</row>
    <row r="110">
      <c r="A110" s="6"/>
      <c r="B110" s="6"/>
      <c r="C110" s="6"/>
      <c r="D110" s="6"/>
      <c r="E110" s="6"/>
      <c r="F110" s="6"/>
      <c r="G110" s="34" t="s">
        <v>21</v>
      </c>
      <c r="H110" s="12"/>
      <c r="I110" s="12"/>
      <c r="J110" s="6"/>
    </row>
    <row r="111">
      <c r="A111" s="6"/>
      <c r="B111" s="6"/>
      <c r="C111" s="6"/>
      <c r="D111" s="6"/>
      <c r="E111" s="6"/>
      <c r="F111" s="6"/>
      <c r="G111" s="35" t="s">
        <v>209</v>
      </c>
      <c r="J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</row>
    <row r="113">
      <c r="A113" s="6"/>
      <c r="B113" s="14" t="s">
        <v>210</v>
      </c>
      <c r="C113" s="15"/>
      <c r="D113" s="15"/>
      <c r="E113" s="15"/>
      <c r="F113" s="15"/>
      <c r="G113" s="15"/>
      <c r="H113" s="15"/>
      <c r="I113" s="16"/>
      <c r="J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</row>
    <row r="115">
      <c r="A115" s="6"/>
      <c r="B115" s="44" t="s">
        <v>211</v>
      </c>
      <c r="C115" s="45"/>
      <c r="D115" s="46" t="s">
        <v>212</v>
      </c>
      <c r="E115" s="47" t="s">
        <v>213</v>
      </c>
      <c r="F115" s="48"/>
      <c r="G115" s="49" t="s">
        <v>214</v>
      </c>
      <c r="H115" s="48"/>
      <c r="I115" s="50"/>
      <c r="J115" s="6"/>
    </row>
    <row r="116">
      <c r="A116" s="6"/>
      <c r="B116" s="51"/>
      <c r="C116" s="6"/>
      <c r="D116" s="34" t="s">
        <v>31</v>
      </c>
      <c r="E116" s="6"/>
      <c r="F116" s="6"/>
      <c r="G116" s="7" t="s">
        <v>213</v>
      </c>
      <c r="H116" s="11" t="s">
        <v>21</v>
      </c>
      <c r="I116" s="52"/>
      <c r="J116" s="6"/>
    </row>
    <row r="117">
      <c r="A117" s="6"/>
      <c r="B117" s="53"/>
      <c r="C117" s="17"/>
      <c r="D117" s="17"/>
      <c r="E117" s="17"/>
      <c r="F117" s="17"/>
      <c r="G117" s="54" t="s">
        <v>215</v>
      </c>
      <c r="H117" s="34" t="s">
        <v>31</v>
      </c>
      <c r="I117" s="55"/>
      <c r="J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</row>
    <row r="119">
      <c r="A119" s="6"/>
      <c r="B119" s="44" t="s">
        <v>216</v>
      </c>
      <c r="C119" s="45"/>
      <c r="D119" s="56" t="s">
        <v>217</v>
      </c>
      <c r="E119" s="48"/>
      <c r="F119" s="48"/>
      <c r="G119" s="48"/>
      <c r="H119" s="48"/>
      <c r="I119" s="50"/>
      <c r="J119" s="6"/>
    </row>
    <row r="120">
      <c r="A120" s="6"/>
      <c r="B120" s="51"/>
      <c r="C120" s="7"/>
      <c r="D120" s="43" t="s">
        <v>212</v>
      </c>
      <c r="E120" s="2" t="s">
        <v>213</v>
      </c>
      <c r="F120" s="6"/>
      <c r="G120" s="7"/>
      <c r="H120" s="35" t="s">
        <v>203</v>
      </c>
      <c r="I120" s="57"/>
      <c r="J120" s="6"/>
    </row>
    <row r="121">
      <c r="A121" s="6"/>
      <c r="B121" s="51"/>
      <c r="C121" s="7" t="s">
        <v>218</v>
      </c>
      <c r="D121" s="34" t="s">
        <v>31</v>
      </c>
      <c r="E121" s="3"/>
      <c r="H121" s="11" t="s">
        <v>21</v>
      </c>
      <c r="I121" s="57"/>
      <c r="J121" s="6"/>
    </row>
    <row r="122">
      <c r="A122" s="6"/>
      <c r="B122" s="51"/>
      <c r="C122" s="7" t="s">
        <v>219</v>
      </c>
      <c r="D122" s="34" t="s">
        <v>31</v>
      </c>
      <c r="E122" s="3"/>
      <c r="H122" s="11" t="s">
        <v>21</v>
      </c>
      <c r="I122" s="57"/>
      <c r="J122" s="6"/>
    </row>
    <row r="123">
      <c r="A123" s="6"/>
      <c r="B123" s="51"/>
      <c r="C123" s="7" t="s">
        <v>220</v>
      </c>
      <c r="D123" s="34" t="s">
        <v>31</v>
      </c>
      <c r="E123" s="3"/>
      <c r="H123" s="11" t="s">
        <v>21</v>
      </c>
      <c r="I123" s="57"/>
      <c r="J123" s="6"/>
    </row>
    <row r="124">
      <c r="A124" s="6"/>
      <c r="B124" s="58"/>
      <c r="C124" s="54" t="s">
        <v>221</v>
      </c>
      <c r="D124" s="17"/>
      <c r="E124" s="34" t="s">
        <v>31</v>
      </c>
      <c r="F124" s="17"/>
      <c r="G124" s="54"/>
      <c r="H124" s="17"/>
      <c r="I124" s="59"/>
      <c r="J124" s="6"/>
    </row>
    <row r="125">
      <c r="A125" s="6"/>
      <c r="B125" s="60"/>
      <c r="C125" s="7"/>
      <c r="D125" s="61"/>
      <c r="E125" s="7"/>
      <c r="F125" s="6"/>
      <c r="G125" s="7"/>
      <c r="H125" s="6"/>
      <c r="I125" s="61"/>
      <c r="J125" s="6"/>
    </row>
    <row r="126">
      <c r="A126" s="6"/>
      <c r="B126" s="44" t="s">
        <v>222</v>
      </c>
      <c r="C126" s="48"/>
      <c r="D126" s="46" t="s">
        <v>212</v>
      </c>
      <c r="E126" s="47" t="s">
        <v>203</v>
      </c>
      <c r="F126" s="48"/>
      <c r="G126" s="49" t="s">
        <v>223</v>
      </c>
      <c r="H126" s="48"/>
      <c r="I126" s="50"/>
      <c r="J126" s="6"/>
    </row>
    <row r="127">
      <c r="A127" s="6"/>
      <c r="B127" s="62"/>
      <c r="C127" s="6"/>
      <c r="D127" s="34" t="s">
        <v>31</v>
      </c>
      <c r="E127" s="3"/>
      <c r="F127" s="6"/>
      <c r="G127" s="6"/>
      <c r="H127" s="7" t="s">
        <v>68</v>
      </c>
      <c r="I127" s="63" t="s">
        <v>21</v>
      </c>
      <c r="J127" s="6"/>
    </row>
    <row r="128">
      <c r="A128" s="6"/>
      <c r="B128" s="62"/>
      <c r="C128" s="6"/>
      <c r="D128" s="6"/>
      <c r="E128" s="7"/>
      <c r="F128" s="6"/>
      <c r="G128" s="7" t="s">
        <v>224</v>
      </c>
      <c r="H128" s="6"/>
      <c r="I128" s="59" t="s">
        <v>31</v>
      </c>
      <c r="J128" s="6"/>
    </row>
    <row r="129">
      <c r="A129" s="6"/>
      <c r="B129" s="58" t="s">
        <v>225</v>
      </c>
      <c r="C129" s="17"/>
      <c r="D129" s="11" t="s">
        <v>21</v>
      </c>
      <c r="E129" s="17"/>
      <c r="F129" s="17"/>
      <c r="G129" s="54"/>
      <c r="H129" s="17"/>
      <c r="I129" s="59"/>
      <c r="J129" s="6"/>
    </row>
    <row r="130">
      <c r="A130" s="6"/>
      <c r="B130" s="6"/>
      <c r="C130" s="6"/>
      <c r="D130" s="43"/>
      <c r="E130" s="35"/>
      <c r="F130" s="6"/>
      <c r="G130" s="6"/>
      <c r="H130" s="43"/>
      <c r="I130" s="35"/>
      <c r="J130" s="6"/>
    </row>
    <row r="131">
      <c r="A131" s="6"/>
      <c r="B131" s="44" t="s">
        <v>226</v>
      </c>
      <c r="C131" s="48"/>
      <c r="D131" s="46" t="s">
        <v>212</v>
      </c>
      <c r="E131" s="47" t="s">
        <v>203</v>
      </c>
      <c r="F131" s="48"/>
      <c r="G131" s="48"/>
      <c r="H131" s="48"/>
      <c r="I131" s="50"/>
      <c r="J131" s="6"/>
    </row>
    <row r="132">
      <c r="A132" s="6"/>
      <c r="B132" s="62"/>
      <c r="C132" s="6"/>
      <c r="D132" s="34" t="s">
        <v>31</v>
      </c>
      <c r="E132" s="6"/>
      <c r="F132" s="6"/>
      <c r="G132" s="7" t="s">
        <v>227</v>
      </c>
      <c r="H132" s="7" t="s">
        <v>228</v>
      </c>
      <c r="I132" s="59" t="s">
        <v>31</v>
      </c>
      <c r="J132" s="6"/>
    </row>
    <row r="133">
      <c r="A133" s="6"/>
      <c r="B133" s="62"/>
      <c r="C133" s="6"/>
      <c r="D133" s="6"/>
      <c r="E133" s="6"/>
      <c r="F133" s="6"/>
      <c r="G133" s="6"/>
      <c r="H133" s="6"/>
      <c r="I133" s="52"/>
      <c r="J133" s="6"/>
    </row>
    <row r="134">
      <c r="A134" s="6"/>
      <c r="B134" s="64"/>
      <c r="C134" s="17"/>
      <c r="D134" s="65" t="s">
        <v>213</v>
      </c>
      <c r="E134" s="11" t="s">
        <v>21</v>
      </c>
      <c r="F134" s="17"/>
      <c r="G134" s="54" t="s">
        <v>229</v>
      </c>
      <c r="H134" s="17"/>
      <c r="I134" s="55"/>
      <c r="J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</row>
    <row r="136">
      <c r="A136" s="6"/>
      <c r="B136" s="66" t="s">
        <v>230</v>
      </c>
      <c r="C136" s="67" t="s">
        <v>217</v>
      </c>
      <c r="D136" s="48"/>
      <c r="E136" s="56"/>
      <c r="F136" s="46" t="s">
        <v>212</v>
      </c>
      <c r="G136" s="68" t="s">
        <v>31</v>
      </c>
      <c r="H136" s="48"/>
      <c r="I136" s="50"/>
      <c r="J136" s="6"/>
    </row>
    <row r="137">
      <c r="A137" s="6"/>
      <c r="B137" s="51"/>
      <c r="C137" s="69" t="s">
        <v>213</v>
      </c>
      <c r="D137" s="3"/>
      <c r="H137" s="6"/>
      <c r="I137" s="52"/>
      <c r="J137" s="6"/>
    </row>
    <row r="138">
      <c r="A138" s="6"/>
      <c r="B138" s="58"/>
      <c r="C138" s="70" t="s">
        <v>203</v>
      </c>
      <c r="D138" s="11" t="s">
        <v>21</v>
      </c>
      <c r="E138" s="12"/>
      <c r="F138" s="71"/>
      <c r="G138" s="17"/>
      <c r="H138" s="17"/>
      <c r="I138" s="55"/>
      <c r="J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</row>
    <row r="140">
      <c r="A140" s="6"/>
      <c r="B140" s="66" t="s">
        <v>231</v>
      </c>
      <c r="C140" s="72"/>
      <c r="D140" s="46" t="s">
        <v>212</v>
      </c>
      <c r="E140" s="47" t="s">
        <v>203</v>
      </c>
      <c r="F140" s="48"/>
      <c r="G140" s="48"/>
      <c r="H140" s="48"/>
      <c r="I140" s="50"/>
      <c r="J140" s="6"/>
    </row>
    <row r="141">
      <c r="A141" s="6"/>
      <c r="B141" s="73"/>
      <c r="D141" s="34" t="s">
        <v>31</v>
      </c>
      <c r="E141" s="6"/>
      <c r="F141" s="7" t="s">
        <v>232</v>
      </c>
      <c r="G141" s="6"/>
      <c r="H141" s="61"/>
      <c r="I141" s="57"/>
      <c r="J141" s="6"/>
    </row>
    <row r="142">
      <c r="A142" s="6"/>
      <c r="B142" s="74" t="s">
        <v>233</v>
      </c>
      <c r="C142" s="6"/>
      <c r="D142" s="6"/>
      <c r="E142" s="6"/>
      <c r="F142" s="7" t="s">
        <v>234</v>
      </c>
      <c r="G142" s="6"/>
      <c r="H142" s="6"/>
      <c r="I142" s="52"/>
      <c r="J142" s="6"/>
    </row>
    <row r="143">
      <c r="A143" s="6"/>
      <c r="B143" s="74" t="s">
        <v>235</v>
      </c>
      <c r="C143" s="11" t="s">
        <v>33</v>
      </c>
      <c r="D143" s="7" t="s">
        <v>236</v>
      </c>
      <c r="E143" s="6"/>
      <c r="F143" s="7" t="s">
        <v>235</v>
      </c>
      <c r="G143" s="11" t="s">
        <v>33</v>
      </c>
      <c r="H143" s="7" t="s">
        <v>236</v>
      </c>
      <c r="I143" s="52"/>
      <c r="J143" s="6"/>
    </row>
    <row r="144">
      <c r="A144" s="6"/>
      <c r="B144" s="74" t="s">
        <v>237</v>
      </c>
      <c r="C144" s="11" t="s">
        <v>33</v>
      </c>
      <c r="D144" s="7" t="s">
        <v>236</v>
      </c>
      <c r="E144" s="6"/>
      <c r="F144" s="7" t="s">
        <v>237</v>
      </c>
      <c r="G144" s="11" t="s">
        <v>33</v>
      </c>
      <c r="H144" s="7" t="s">
        <v>236</v>
      </c>
      <c r="I144" s="52"/>
      <c r="J144" s="6"/>
    </row>
    <row r="145">
      <c r="A145" s="6"/>
      <c r="B145" s="74" t="s">
        <v>238</v>
      </c>
      <c r="C145" s="11" t="s">
        <v>33</v>
      </c>
      <c r="D145" s="7" t="s">
        <v>236</v>
      </c>
      <c r="E145" s="6"/>
      <c r="F145" s="7" t="s">
        <v>238</v>
      </c>
      <c r="G145" s="11" t="s">
        <v>33</v>
      </c>
      <c r="H145" s="7" t="s">
        <v>236</v>
      </c>
      <c r="I145" s="52"/>
      <c r="J145" s="6"/>
    </row>
    <row r="146">
      <c r="A146" s="6"/>
      <c r="B146" s="75"/>
      <c r="C146" s="6"/>
      <c r="D146" s="6"/>
      <c r="E146" s="6"/>
      <c r="F146" s="6"/>
      <c r="G146" s="6"/>
      <c r="H146" s="6"/>
      <c r="I146" s="52"/>
      <c r="J146" s="6"/>
    </row>
    <row r="147">
      <c r="A147" s="6"/>
      <c r="B147" s="74" t="s">
        <v>239</v>
      </c>
      <c r="C147" s="6"/>
      <c r="D147" s="76" t="s">
        <v>21</v>
      </c>
      <c r="E147" s="71"/>
      <c r="F147" s="6"/>
      <c r="G147" s="7" t="s">
        <v>68</v>
      </c>
      <c r="H147" s="11" t="s">
        <v>21</v>
      </c>
      <c r="I147" s="52"/>
      <c r="J147" s="6"/>
    </row>
    <row r="148">
      <c r="A148" s="6"/>
      <c r="B148" s="75"/>
      <c r="C148" s="6"/>
      <c r="D148" s="6"/>
      <c r="E148" s="6"/>
      <c r="F148" s="6"/>
      <c r="G148" s="6"/>
      <c r="H148" s="6"/>
      <c r="I148" s="52"/>
      <c r="J148" s="6"/>
    </row>
    <row r="149">
      <c r="A149" s="6"/>
      <c r="B149" s="75"/>
      <c r="C149" s="6"/>
      <c r="D149" s="6"/>
      <c r="E149" s="6"/>
      <c r="F149" s="6"/>
      <c r="G149" s="34" t="s">
        <v>21</v>
      </c>
      <c r="H149" s="12"/>
      <c r="I149" s="77"/>
      <c r="J149" s="6"/>
    </row>
    <row r="150">
      <c r="A150" s="6"/>
      <c r="B150" s="53"/>
      <c r="C150" s="17"/>
      <c r="D150" s="17"/>
      <c r="E150" s="17"/>
      <c r="F150" s="17"/>
      <c r="G150" s="70" t="s">
        <v>240</v>
      </c>
      <c r="H150" s="12"/>
      <c r="I150" s="77"/>
      <c r="J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</row>
    <row r="152">
      <c r="A152" s="6"/>
      <c r="B152" s="14" t="s">
        <v>241</v>
      </c>
      <c r="C152" s="15"/>
      <c r="D152" s="15"/>
      <c r="E152" s="15"/>
      <c r="F152" s="15"/>
      <c r="G152" s="15"/>
      <c r="H152" s="15"/>
      <c r="I152" s="16"/>
      <c r="J152" s="6"/>
    </row>
    <row r="153">
      <c r="A153" s="6"/>
      <c r="B153" s="78" t="s">
        <v>242</v>
      </c>
      <c r="C153" s="6"/>
      <c r="D153" s="6"/>
      <c r="E153" s="6"/>
      <c r="F153" s="78" t="s">
        <v>243</v>
      </c>
      <c r="G153" s="11" t="s">
        <v>21</v>
      </c>
      <c r="H153" s="60" t="s">
        <v>244</v>
      </c>
      <c r="I153" s="11" t="s">
        <v>33</v>
      </c>
      <c r="J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</row>
    <row r="155">
      <c r="A155" s="6"/>
      <c r="B155" s="79" t="s">
        <v>245</v>
      </c>
      <c r="C155" s="6"/>
      <c r="D155" s="6"/>
      <c r="E155" s="6"/>
      <c r="F155" s="79" t="s">
        <v>246</v>
      </c>
      <c r="G155" s="6"/>
      <c r="H155" s="6"/>
      <c r="I155" s="6"/>
      <c r="J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</row>
    <row r="157">
      <c r="A157" s="6"/>
      <c r="B157" s="79" t="s">
        <v>247</v>
      </c>
      <c r="C157" s="6"/>
      <c r="D157" s="6"/>
      <c r="E157" s="6"/>
      <c r="F157" s="78" t="s">
        <v>248</v>
      </c>
      <c r="G157" s="11" t="s">
        <v>21</v>
      </c>
      <c r="H157" s="17"/>
      <c r="I157" s="17"/>
      <c r="J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</row>
    <row r="159">
      <c r="A159" s="6"/>
      <c r="B159" s="78" t="s">
        <v>249</v>
      </c>
      <c r="C159" s="6"/>
      <c r="D159" s="6"/>
      <c r="E159" s="6"/>
      <c r="F159" s="60" t="s">
        <v>250</v>
      </c>
      <c r="G159" s="11" t="s">
        <v>21</v>
      </c>
      <c r="H159" s="71"/>
      <c r="I159" s="17"/>
      <c r="J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</row>
    <row r="161">
      <c r="A161" s="6"/>
      <c r="B161" s="14" t="s">
        <v>251</v>
      </c>
      <c r="C161" s="15"/>
      <c r="D161" s="15"/>
      <c r="E161" s="15"/>
      <c r="F161" s="15"/>
      <c r="G161" s="15"/>
      <c r="H161" s="15"/>
      <c r="I161" s="16"/>
      <c r="J161" s="6"/>
    </row>
    <row r="162">
      <c r="A162" s="6"/>
      <c r="B162" s="18" t="s">
        <v>252</v>
      </c>
      <c r="C162" s="34" t="s">
        <v>31</v>
      </c>
      <c r="D162" s="6"/>
      <c r="E162" s="18" t="s">
        <v>253</v>
      </c>
      <c r="F162" s="6"/>
      <c r="G162" s="6"/>
      <c r="H162" s="18" t="s">
        <v>254</v>
      </c>
      <c r="I162" s="6"/>
      <c r="J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</row>
    <row r="164">
      <c r="A164" s="6"/>
      <c r="B164" s="80" t="s">
        <v>255</v>
      </c>
      <c r="C164" s="81"/>
      <c r="E164" s="82" t="s">
        <v>256</v>
      </c>
      <c r="F164" s="83"/>
      <c r="G164" s="84"/>
      <c r="H164" s="85" t="s">
        <v>257</v>
      </c>
      <c r="I164" s="83"/>
      <c r="J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</row>
    <row r="166">
      <c r="A166" s="6"/>
      <c r="B166" s="86" t="s">
        <v>258</v>
      </c>
      <c r="C166" s="87"/>
      <c r="E166" s="88" t="s">
        <v>259</v>
      </c>
      <c r="F166" s="81"/>
      <c r="G166" s="6"/>
      <c r="H166" s="82" t="s">
        <v>260</v>
      </c>
      <c r="I166" s="89" t="s">
        <v>33</v>
      </c>
      <c r="J166" s="6"/>
    </row>
    <row r="167">
      <c r="A167" s="6"/>
      <c r="E167" s="7"/>
      <c r="F167" s="6"/>
      <c r="G167" s="6"/>
      <c r="H167" s="6"/>
      <c r="I167" s="6"/>
      <c r="J167" s="6"/>
    </row>
  </sheetData>
  <mergeCells count="60">
    <mergeCell ref="C97:D97"/>
    <mergeCell ref="C98:D98"/>
    <mergeCell ref="C99:D99"/>
    <mergeCell ref="C100:D100"/>
    <mergeCell ref="G98:H98"/>
    <mergeCell ref="G99:H99"/>
    <mergeCell ref="G100:H100"/>
    <mergeCell ref="G102:H102"/>
    <mergeCell ref="B104:I104"/>
    <mergeCell ref="G110:I110"/>
    <mergeCell ref="B113:I113"/>
    <mergeCell ref="A1:J1"/>
    <mergeCell ref="C5:F5"/>
    <mergeCell ref="C7:F7"/>
    <mergeCell ref="B9:I9"/>
    <mergeCell ref="D18:E18"/>
    <mergeCell ref="B29:I29"/>
    <mergeCell ref="B38:J38"/>
    <mergeCell ref="F43:G43"/>
    <mergeCell ref="F44:G44"/>
    <mergeCell ref="F45:G45"/>
    <mergeCell ref="D39:E39"/>
    <mergeCell ref="F39:G39"/>
    <mergeCell ref="D40:E40"/>
    <mergeCell ref="F40:G40"/>
    <mergeCell ref="D41:E41"/>
    <mergeCell ref="F41:G41"/>
    <mergeCell ref="F42:G42"/>
    <mergeCell ref="D42:E42"/>
    <mergeCell ref="D43:E43"/>
    <mergeCell ref="D44:E44"/>
    <mergeCell ref="B45:E45"/>
    <mergeCell ref="B54:I54"/>
    <mergeCell ref="H55:I55"/>
    <mergeCell ref="H57:I57"/>
    <mergeCell ref="G65:I65"/>
    <mergeCell ref="G66:I66"/>
    <mergeCell ref="B68:I68"/>
    <mergeCell ref="B91:C91"/>
    <mergeCell ref="E91:F91"/>
    <mergeCell ref="H91:I91"/>
    <mergeCell ref="B93:I93"/>
    <mergeCell ref="C94:D94"/>
    <mergeCell ref="G94:H94"/>
    <mergeCell ref="C95:D95"/>
    <mergeCell ref="G95:H95"/>
    <mergeCell ref="C96:D96"/>
    <mergeCell ref="G96:H96"/>
    <mergeCell ref="G97:H97"/>
    <mergeCell ref="G149:I149"/>
    <mergeCell ref="G150:I150"/>
    <mergeCell ref="B152:I152"/>
    <mergeCell ref="B161:I161"/>
    <mergeCell ref="G111:I111"/>
    <mergeCell ref="E121:G121"/>
    <mergeCell ref="E122:G122"/>
    <mergeCell ref="E123:G123"/>
    <mergeCell ref="D137:G137"/>
    <mergeCell ref="D138:E138"/>
    <mergeCell ref="B140:C141"/>
  </mergeCells>
  <dataValidations>
    <dataValidation type="list" allowBlank="1" showErrorMessage="1" sqref="E2">
      <formula1>"singleton-outside hospital,twin-outside hospital "</formula1>
    </dataValidation>
    <dataValidation type="list" allowBlank="1" showErrorMessage="1" sqref="D102">
      <formula1>"Prematurity,Pneuminiia,Sepsis,Congenital Anomaly,Asphyxia"</formula1>
    </dataValidation>
    <dataValidation type="list" allowBlank="1" showErrorMessage="1" sqref="E121:E123">
      <formula1>"Negative,Immature Retina,Pre-Plus Stage 1,Pre-Plus Stage 2,Pre-Plus Stage 3,Pre-Plus Stage 4,Pre-Plus Stage 5,Not Done"</formula1>
    </dataValidation>
    <dataValidation type="list" allowBlank="1" showErrorMessage="1" sqref="F12 H48">
      <formula1>"A+,B+,AB+,O+,A-,B-,AB-,O-"</formula1>
    </dataValidation>
    <dataValidation type="list" allowBlank="1" showErrorMessage="1" sqref="E141">
      <formula1>"Pass,Retest,Refer,Not Done"</formula1>
    </dataValidation>
    <dataValidation type="list" allowBlank="1" showErrorMessage="1" sqref="G141">
      <formula1>"Pass,Refer"</formula1>
    </dataValidation>
    <dataValidation type="list" allowBlank="1" showErrorMessage="1" sqref="F164">
      <formula1>"Exclusive Breastmilk,Mixed Feeding,Formula Feeding ,None (Baby Died)."</formula1>
    </dataValidation>
    <dataValidation type="list" allowBlank="1" showErrorMessage="1" sqref="C166">
      <formula1>"Yes,No,Not Applicable"</formula1>
    </dataValidation>
    <dataValidation type="list" allowBlank="1" showErrorMessage="1" sqref="E127">
      <formula1>"Done in CL,Done Outside,Not Done"</formula1>
    </dataValidation>
    <dataValidation type="list" allowBlank="1" showErrorMessage="1" sqref="I164">
      <formula1>"No,Pasteurized Human Milk,Not Pasteurized Human Milk"</formula1>
    </dataValidation>
    <dataValidation type="list" allowBlank="1" showErrorMessage="1" sqref="I7">
      <formula1>"Emergency Room,Operating Room,Delivery Room,Non Institutional"</formula1>
    </dataValidation>
    <dataValidation type="list" allowBlank="1" showErrorMessage="1" sqref="E116">
      <formula1>"+/normal,-/abnormal,Not Done"</formula1>
    </dataValidation>
    <dataValidation type="list" allowBlank="1" showErrorMessage="1" sqref="H134 D159">
      <formula1>"Yes,No"</formula1>
    </dataValidation>
    <dataValidation type="list" allowBlank="1" showErrorMessage="1" sqref="C20">
      <formula1>"Intact,Ruptured"</formula1>
    </dataValidation>
    <dataValidation type="list" allowBlank="1" showErrorMessage="1" sqref="D155">
      <formula1>"Normal,Transient Tachypnea,Respiratory Distress,Pneumonia"</formula1>
    </dataValidation>
    <dataValidation type="list" allowBlank="1" showErrorMessage="1" sqref="F162">
      <formula1>"Intermittent (&lt;20 hours),Continuous (KMC ward or &gt;20 hours),Not Enrolled"</formula1>
    </dataValidation>
    <dataValidation type="list" allowBlank="1" showErrorMessage="1" sqref="E119 D136">
      <formula1>"Yes,No,Not Done"</formula1>
    </dataValidation>
    <dataValidation type="list" allowBlank="1" showErrorMessage="1" sqref="H40:J44">
      <formula1>"0,1,2"</formula1>
    </dataValidation>
    <dataValidation type="list" allowBlank="1" showErrorMessage="1" sqref="I126">
      <formula1>"Blood Trasnfusion,Prematurity,NPO,ENBS Finding"</formula1>
    </dataValidation>
    <dataValidation type="list" allowBlank="1" showErrorMessage="1" sqref="D137">
      <formula1>"Normal,Hydrocephalus,GMH-IVH Stage 1,GMH-IVH Stage 2,GMH-IVH Stage 3,GMH-IVH Stage 4"</formula1>
    </dataValidation>
    <dataValidation type="list" allowBlank="1" showErrorMessage="1" sqref="I162">
      <formula1>"Discharged,Expired"</formula1>
    </dataValidation>
    <dataValidation type="list" allowBlank="1" showErrorMessage="1" sqref="C22">
      <formula1>"Normal,High Risk"</formula1>
    </dataValidation>
    <dataValidation type="list" allowBlank="1" showErrorMessage="1" sqref="F22">
      <formula1>"NSD,VBAC,Breech,Forceps,Vacuum,CS"</formula1>
    </dataValidation>
    <dataValidation type="list" allowBlank="1" showErrorMessage="1" sqref="J71:J76 J81:J87">
      <formula1>"-1,0,1,2,3,4,5"</formula1>
    </dataValidation>
    <dataValidation type="list" allowBlank="1" showErrorMessage="1" sqref="D157">
      <formula1>"None,Clinical Sepsis,Culture Proven"</formula1>
    </dataValidation>
    <dataValidation type="list" allowBlank="1" showErrorMessage="1" sqref="B2">
      <formula1>"singleton-in hospital,twin-in hospital,multiple-in hospital"</formula1>
    </dataValidation>
    <dataValidation type="list" allowBlank="1" showErrorMessage="1" sqref="F20">
      <formula1>"Cephalic,Breech,Transverse,Face"</formula1>
    </dataValidation>
    <dataValidation type="list" allowBlank="1" showErrorMessage="1" sqref="E132">
      <formula1>"Pass,Fail,Not Done"</formula1>
    </dataValidation>
    <dataValidation type="list" allowBlank="1" showErrorMessage="1" sqref="G100">
      <formula1>"Male,Female,undetermined"</formula1>
    </dataValidation>
    <dataValidation type="list" allowBlank="1" showErrorMessage="1" sqref="D153">
      <formula1>"None,Physiologic,Breastfeeding,ABO incompatibility,Prematurity"</formula1>
    </dataValidation>
    <dataValidation type="list" allowBlank="1" showErrorMessage="1" sqref="F166">
      <formula1>"DNR / DNI,Neurologic,Respiratory failure refractory to high ventilator settings,Severe Acidosis,Shock"</formula1>
    </dataValidation>
    <dataValidation type="list" allowBlank="1" showErrorMessage="1" sqref="H155">
      <formula1>"IPPV,NIPPV,Nasal CPAP,Nasal High Flow,Face Mask,Nasal Cannula,Blow by oxygen"</formula1>
    </dataValidation>
    <dataValidation type="list" allowBlank="1" showErrorMessage="1" sqref="C164">
      <formula1>"Direct Breastfeeding,OGT,Cup/Dropper"</formula1>
    </dataValidation>
  </dataValidations>
  <hyperlinks>
    <hyperlink display="Lubchenco Chart PDF" location="'Lubchenco Chart'!A1" ref="B91"/>
    <hyperlink display="Boy Fenton Chart PDF" location="'Boy Fenton Chart'!A1" ref="E91"/>
    <hyperlink display="Girl Fenton Chart PDF" location="'Female Fenton'!A1" ref="H9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38"/>
  </cols>
  <sheetData>
    <row r="1">
      <c r="A1" s="1" t="s">
        <v>1</v>
      </c>
      <c r="B1" s="2" t="s">
        <v>2</v>
      </c>
      <c r="D1" s="2" t="s">
        <v>3</v>
      </c>
      <c r="E1" s="2" t="s">
        <v>4</v>
      </c>
    </row>
    <row r="2">
      <c r="A2" s="2">
        <v>-10.0</v>
      </c>
      <c r="B2" s="2">
        <v>20.0</v>
      </c>
      <c r="D2" s="3">
        <v>20.0</v>
      </c>
      <c r="E2" s="4" t="s">
        <v>5</v>
      </c>
    </row>
    <row r="3">
      <c r="A3" s="2">
        <v>-9.0</v>
      </c>
      <c r="B3" s="2">
        <v>21.0</v>
      </c>
      <c r="D3" s="3">
        <v>21.0</v>
      </c>
      <c r="E3" s="4" t="s">
        <v>5</v>
      </c>
    </row>
    <row r="4">
      <c r="A4" s="2">
        <v>-8.0</v>
      </c>
      <c r="B4" s="2">
        <v>21.0</v>
      </c>
      <c r="D4" s="3">
        <v>22.0</v>
      </c>
      <c r="E4" s="4" t="s">
        <v>5</v>
      </c>
    </row>
    <row r="5">
      <c r="A5" s="2">
        <v>-7.0</v>
      </c>
      <c r="B5" s="2">
        <v>21.0</v>
      </c>
      <c r="D5" s="3">
        <v>23.0</v>
      </c>
      <c r="E5" s="4" t="s">
        <v>5</v>
      </c>
    </row>
    <row r="6">
      <c r="A6" s="2">
        <v>-6.0</v>
      </c>
      <c r="B6" s="2">
        <v>21.0</v>
      </c>
      <c r="D6" s="3">
        <v>24.0</v>
      </c>
      <c r="E6" s="4" t="s">
        <v>5</v>
      </c>
    </row>
    <row r="7">
      <c r="A7" s="2">
        <v>-5.0</v>
      </c>
      <c r="B7" s="2">
        <v>22.0</v>
      </c>
      <c r="D7" s="3">
        <v>25.0</v>
      </c>
      <c r="E7" s="4" t="s">
        <v>5</v>
      </c>
    </row>
    <row r="8">
      <c r="A8" s="2">
        <v>-4.0</v>
      </c>
      <c r="B8" s="2">
        <v>23.0</v>
      </c>
      <c r="D8" s="3">
        <v>26.0</v>
      </c>
      <c r="E8" s="4" t="s">
        <v>5</v>
      </c>
    </row>
    <row r="9">
      <c r="A9" s="2">
        <v>-3.0</v>
      </c>
      <c r="B9" s="2">
        <v>23.0</v>
      </c>
      <c r="D9" s="3">
        <v>27.0</v>
      </c>
      <c r="E9" s="4" t="s">
        <v>5</v>
      </c>
    </row>
    <row r="10">
      <c r="A10" s="2">
        <v>-2.0</v>
      </c>
      <c r="B10" s="2">
        <v>23.0</v>
      </c>
      <c r="D10" s="3">
        <v>28.0</v>
      </c>
      <c r="E10" s="4" t="s">
        <v>6</v>
      </c>
    </row>
    <row r="11">
      <c r="A11" s="2">
        <v>-1.0</v>
      </c>
      <c r="B11" s="2">
        <v>23.0</v>
      </c>
      <c r="D11" s="3">
        <v>29.0</v>
      </c>
      <c r="E11" s="4" t="s">
        <v>6</v>
      </c>
    </row>
    <row r="12">
      <c r="A12" s="2">
        <v>0.0</v>
      </c>
      <c r="B12" s="2">
        <v>24.0</v>
      </c>
      <c r="D12" s="3">
        <v>30.0</v>
      </c>
      <c r="E12" s="4" t="s">
        <v>6</v>
      </c>
    </row>
    <row r="13">
      <c r="A13" s="3">
        <f t="array" ref="A13:A62">SEQUENCE(50,1)</f>
        <v>1</v>
      </c>
      <c r="B13" s="2">
        <v>25.0</v>
      </c>
      <c r="D13" s="3">
        <v>31.0</v>
      </c>
      <c r="E13" s="4" t="s">
        <v>6</v>
      </c>
    </row>
    <row r="14">
      <c r="A14" s="3">
        <v>2.0</v>
      </c>
      <c r="B14" s="2">
        <v>25.0</v>
      </c>
      <c r="D14" s="3">
        <v>32.0</v>
      </c>
      <c r="E14" s="4" t="s">
        <v>8</v>
      </c>
    </row>
    <row r="15">
      <c r="A15" s="3">
        <v>3.0</v>
      </c>
      <c r="B15" s="2">
        <v>25.0</v>
      </c>
      <c r="D15" s="3">
        <v>33.0</v>
      </c>
      <c r="E15" s="4" t="s">
        <v>8</v>
      </c>
    </row>
    <row r="16">
      <c r="A16" s="3">
        <v>4.0</v>
      </c>
      <c r="B16" s="2">
        <v>25.0</v>
      </c>
      <c r="D16" s="3">
        <v>34.0</v>
      </c>
      <c r="E16" s="4" t="s">
        <v>10</v>
      </c>
    </row>
    <row r="17">
      <c r="A17" s="3">
        <v>5.0</v>
      </c>
      <c r="B17" s="2">
        <v>26.0</v>
      </c>
      <c r="D17" s="3">
        <v>35.0</v>
      </c>
      <c r="E17" s="4" t="s">
        <v>10</v>
      </c>
    </row>
    <row r="18">
      <c r="A18" s="3">
        <v>6.0</v>
      </c>
      <c r="B18" s="2">
        <v>27.0</v>
      </c>
      <c r="D18" s="3">
        <v>36.0</v>
      </c>
      <c r="E18" s="4" t="s">
        <v>10</v>
      </c>
    </row>
    <row r="19">
      <c r="A19" s="3">
        <v>7.0</v>
      </c>
      <c r="B19" s="2">
        <v>27.0</v>
      </c>
      <c r="D19" s="3">
        <v>37.0</v>
      </c>
      <c r="E19" s="2" t="s">
        <v>12</v>
      </c>
    </row>
    <row r="20">
      <c r="A20" s="3">
        <v>8.0</v>
      </c>
      <c r="B20" s="2">
        <v>27.0</v>
      </c>
      <c r="D20" s="3">
        <v>38.0</v>
      </c>
      <c r="E20" s="2" t="s">
        <v>12</v>
      </c>
    </row>
    <row r="21">
      <c r="A21" s="3">
        <v>9.0</v>
      </c>
      <c r="B21" s="2">
        <v>27.0</v>
      </c>
      <c r="D21" s="3">
        <v>39.0</v>
      </c>
      <c r="E21" s="2" t="s">
        <v>14</v>
      </c>
    </row>
    <row r="22">
      <c r="A22" s="3">
        <v>10.0</v>
      </c>
      <c r="B22" s="2">
        <v>28.0</v>
      </c>
      <c r="D22" s="3">
        <v>40.0</v>
      </c>
      <c r="E22" s="2" t="s">
        <v>14</v>
      </c>
    </row>
    <row r="23">
      <c r="A23" s="3">
        <v>11.0</v>
      </c>
      <c r="B23" s="2">
        <v>29.0</v>
      </c>
      <c r="D23" s="3">
        <v>41.0</v>
      </c>
      <c r="E23" s="2" t="s">
        <v>15</v>
      </c>
    </row>
    <row r="24">
      <c r="A24" s="3">
        <v>12.0</v>
      </c>
      <c r="B24" s="2">
        <v>29.0</v>
      </c>
      <c r="D24" s="3">
        <v>42.0</v>
      </c>
      <c r="E24" s="2" t="s">
        <v>16</v>
      </c>
    </row>
    <row r="25">
      <c r="A25" s="3">
        <v>13.0</v>
      </c>
      <c r="B25" s="2">
        <v>29.0</v>
      </c>
      <c r="D25" s="3">
        <v>43.0</v>
      </c>
      <c r="E25" s="2" t="s">
        <v>16</v>
      </c>
    </row>
    <row r="26">
      <c r="A26" s="3">
        <v>14.0</v>
      </c>
      <c r="B26" s="2">
        <v>29.0</v>
      </c>
      <c r="D26" s="3">
        <v>44.0</v>
      </c>
      <c r="E26" s="2" t="s">
        <v>16</v>
      </c>
    </row>
    <row r="27">
      <c r="A27" s="3">
        <v>15.0</v>
      </c>
      <c r="B27" s="2">
        <v>30.0</v>
      </c>
      <c r="D27" s="3">
        <v>45.0</v>
      </c>
      <c r="E27" s="2" t="s">
        <v>16</v>
      </c>
    </row>
    <row r="28">
      <c r="A28" s="3">
        <v>16.0</v>
      </c>
      <c r="B28" s="2">
        <v>31.0</v>
      </c>
      <c r="D28" s="3">
        <v>46.0</v>
      </c>
      <c r="E28" s="2" t="s">
        <v>16</v>
      </c>
    </row>
    <row r="29">
      <c r="A29" s="3">
        <v>17.0</v>
      </c>
      <c r="B29" s="2">
        <v>31.0</v>
      </c>
      <c r="D29" s="3">
        <v>47.0</v>
      </c>
      <c r="E29" s="2" t="s">
        <v>16</v>
      </c>
    </row>
    <row r="30">
      <c r="A30" s="3">
        <v>18.0</v>
      </c>
      <c r="B30" s="2">
        <v>31.0</v>
      </c>
      <c r="D30" s="3">
        <v>48.0</v>
      </c>
      <c r="E30" s="2" t="s">
        <v>16</v>
      </c>
    </row>
    <row r="31">
      <c r="A31" s="3">
        <v>19.0</v>
      </c>
      <c r="B31" s="2">
        <v>31.0</v>
      </c>
      <c r="D31" s="3">
        <v>49.0</v>
      </c>
      <c r="E31" s="2" t="s">
        <v>16</v>
      </c>
    </row>
    <row r="32">
      <c r="A32" s="3">
        <v>20.0</v>
      </c>
      <c r="B32" s="2">
        <v>32.0</v>
      </c>
      <c r="D32" s="3">
        <v>50.0</v>
      </c>
      <c r="E32" s="2" t="s">
        <v>16</v>
      </c>
    </row>
    <row r="33">
      <c r="A33" s="3">
        <v>21.0</v>
      </c>
      <c r="B33" s="2">
        <v>33.0</v>
      </c>
    </row>
    <row r="34">
      <c r="A34" s="3">
        <v>22.0</v>
      </c>
      <c r="B34" s="2">
        <v>33.0</v>
      </c>
    </row>
    <row r="35">
      <c r="A35" s="3">
        <v>23.0</v>
      </c>
      <c r="B35" s="2">
        <v>33.0</v>
      </c>
    </row>
    <row r="36">
      <c r="A36" s="3">
        <v>24.0</v>
      </c>
      <c r="B36" s="2">
        <v>33.0</v>
      </c>
    </row>
    <row r="37">
      <c r="A37" s="3">
        <v>25.0</v>
      </c>
      <c r="B37" s="2">
        <v>34.0</v>
      </c>
    </row>
    <row r="38">
      <c r="A38" s="3">
        <v>26.0</v>
      </c>
      <c r="B38" s="2">
        <v>35.0</v>
      </c>
    </row>
    <row r="39">
      <c r="A39" s="3">
        <v>27.0</v>
      </c>
      <c r="B39" s="2">
        <v>35.0</v>
      </c>
    </row>
    <row r="40">
      <c r="A40" s="3">
        <v>28.0</v>
      </c>
      <c r="B40" s="2">
        <v>35.0</v>
      </c>
    </row>
    <row r="41">
      <c r="A41" s="3">
        <v>29.0</v>
      </c>
      <c r="B41" s="2">
        <v>35.0</v>
      </c>
    </row>
    <row r="42">
      <c r="A42" s="3">
        <v>30.0</v>
      </c>
      <c r="B42" s="2">
        <v>36.0</v>
      </c>
    </row>
    <row r="43">
      <c r="A43" s="3">
        <v>31.0</v>
      </c>
      <c r="B43" s="2">
        <v>37.0</v>
      </c>
    </row>
    <row r="44">
      <c r="A44" s="3">
        <v>32.0</v>
      </c>
      <c r="B44" s="2">
        <v>37.0</v>
      </c>
    </row>
    <row r="45">
      <c r="A45" s="3">
        <v>33.0</v>
      </c>
      <c r="B45" s="2">
        <v>37.0</v>
      </c>
    </row>
    <row r="46">
      <c r="A46" s="3">
        <v>34.0</v>
      </c>
      <c r="B46" s="2">
        <v>37.0</v>
      </c>
    </row>
    <row r="47">
      <c r="A47" s="3">
        <v>35.0</v>
      </c>
      <c r="B47" s="2">
        <v>38.0</v>
      </c>
    </row>
    <row r="48">
      <c r="A48" s="3">
        <v>36.0</v>
      </c>
      <c r="B48" s="2">
        <v>39.0</v>
      </c>
    </row>
    <row r="49">
      <c r="A49" s="3">
        <v>37.0</v>
      </c>
      <c r="B49" s="2">
        <v>39.0</v>
      </c>
    </row>
    <row r="50">
      <c r="A50" s="3">
        <v>38.0</v>
      </c>
      <c r="B50" s="2">
        <v>39.0</v>
      </c>
    </row>
    <row r="51">
      <c r="A51" s="3">
        <v>39.0</v>
      </c>
      <c r="B51" s="2">
        <v>39.0</v>
      </c>
    </row>
    <row r="52">
      <c r="A52" s="3">
        <v>40.0</v>
      </c>
      <c r="B52" s="2">
        <v>40.0</v>
      </c>
    </row>
    <row r="53">
      <c r="A53" s="3">
        <v>41.0</v>
      </c>
      <c r="B53" s="2">
        <v>41.0</v>
      </c>
    </row>
    <row r="54">
      <c r="A54" s="3">
        <v>42.0</v>
      </c>
      <c r="B54" s="2">
        <v>41.0</v>
      </c>
    </row>
    <row r="55">
      <c r="A55" s="3">
        <v>43.0</v>
      </c>
      <c r="B55" s="2">
        <v>41.0</v>
      </c>
    </row>
    <row r="56">
      <c r="A56" s="3">
        <v>44.0</v>
      </c>
      <c r="B56" s="2">
        <v>41.0</v>
      </c>
    </row>
    <row r="57">
      <c r="A57" s="3">
        <v>45.0</v>
      </c>
      <c r="B57" s="2">
        <v>42.0</v>
      </c>
    </row>
    <row r="58">
      <c r="A58" s="3">
        <v>46.0</v>
      </c>
      <c r="B58" s="2">
        <v>43.0</v>
      </c>
    </row>
    <row r="59">
      <c r="A59" s="3">
        <v>47.0</v>
      </c>
      <c r="B59" s="2">
        <v>43.0</v>
      </c>
    </row>
    <row r="60">
      <c r="A60" s="3">
        <v>48.0</v>
      </c>
      <c r="B60" s="2">
        <v>43.0</v>
      </c>
    </row>
    <row r="61">
      <c r="A61" s="3">
        <v>49.0</v>
      </c>
      <c r="B61" s="2">
        <v>43.0</v>
      </c>
    </row>
    <row r="62">
      <c r="A62" s="3">
        <v>50.0</v>
      </c>
      <c r="B62" s="2">
        <v>44.0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